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G:\My Drive\Pablo\Programming\R\R Stanford\material-intensity\Inputs\"/>
    </mc:Choice>
  </mc:AlternateContent>
  <xr:revisionPtr revIDLastSave="0" documentId="13_ncr:1_{9D78CE96-CBEE-4283-99A7-4B72D5F16427}" xr6:coauthVersionLast="47" xr6:coauthVersionMax="47" xr10:uidLastSave="{00000000-0000-0000-0000-000000000000}"/>
  <bookViews>
    <workbookView xWindow="-28898" yWindow="-98" windowWidth="28996" windowHeight="15675" tabRatio="500" firstSheet="1" activeTab="1" xr2:uid="{00000000-000D-0000-FFFF-FFFF00000000}"/>
  </bookViews>
  <sheets>
    <sheet name="README" sheetId="1" r:id="rId1"/>
    <sheet name="Analysis_Recycling" sheetId="7" r:id="rId2"/>
    <sheet name="Data" sheetId="2" r:id="rId3"/>
    <sheet name="Sources" sheetId="3" r:id="rId4"/>
    <sheet name="Analysis_MaxSec" sheetId="8" r:id="rId5"/>
    <sheet name="Max_secondary_content" sheetId="4" r:id="rId6"/>
    <sheet name="MISO2_method" sheetId="5" r:id="rId7"/>
    <sheet name="Regional_rates_W2021" sheetId="6" r:id="rId8"/>
  </sheets>
  <definedNames>
    <definedName name="_xlnm._FilterDatabase" localSheetId="2" hidden="1">Data!$A$1:$O$104</definedName>
    <definedName name="_xlnm._FilterDatabase" localSheetId="5" hidden="1">Max_secondary_content!$A$1:$K$30</definedName>
    <definedName name="_xlnm._FilterDatabase" localSheetId="3" hidden="1">Sources!$A$1:$H$39</definedName>
    <definedName name="Slicer_Data_year">#N/A</definedName>
    <definedName name="Slicer_Material">#N/A</definedName>
  </definedNames>
  <calcPr calcId="191029"/>
  <pivotCaches>
    <pivotCache cacheId="10" r:id="rId9"/>
    <pivotCache cacheId="16"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M27" i="6" l="1"/>
  <c r="L27" i="6"/>
  <c r="K27" i="6"/>
  <c r="J27" i="6"/>
  <c r="I27" i="6"/>
  <c r="H27" i="6"/>
  <c r="G27" i="6"/>
  <c r="F27" i="6"/>
  <c r="E27" i="6"/>
  <c r="D27" i="6"/>
  <c r="M26" i="6"/>
  <c r="L26" i="6"/>
  <c r="K26" i="6"/>
  <c r="J26" i="6"/>
  <c r="I26" i="6"/>
  <c r="H26" i="6"/>
  <c r="G26" i="6"/>
  <c r="F26" i="6"/>
  <c r="E26" i="6"/>
  <c r="D26" i="6"/>
  <c r="M25" i="6"/>
  <c r="L25" i="6"/>
  <c r="K25" i="6"/>
  <c r="J25" i="6"/>
  <c r="I25" i="6"/>
  <c r="H25" i="6"/>
  <c r="G25" i="6"/>
  <c r="F25" i="6"/>
  <c r="E25" i="6"/>
  <c r="D25" i="6"/>
  <c r="M24" i="6"/>
  <c r="L24" i="6"/>
  <c r="K24" i="6"/>
  <c r="J24" i="6"/>
  <c r="I24" i="6"/>
  <c r="H24" i="6"/>
  <c r="G24" i="6"/>
  <c r="F24" i="6"/>
  <c r="E24" i="6"/>
  <c r="D24" i="6"/>
  <c r="M23" i="6"/>
  <c r="L23" i="6"/>
  <c r="K23" i="6"/>
  <c r="J23" i="6"/>
  <c r="I23" i="6"/>
  <c r="H23" i="6"/>
  <c r="G23" i="6"/>
  <c r="F23" i="6"/>
  <c r="E23" i="6"/>
  <c r="D23" i="6"/>
  <c r="M22" i="6"/>
  <c r="L22" i="6"/>
  <c r="K22" i="6"/>
  <c r="J22" i="6"/>
  <c r="I22" i="6"/>
  <c r="H22" i="6"/>
  <c r="G22" i="6"/>
  <c r="F22" i="6"/>
  <c r="E22" i="6"/>
  <c r="D22" i="6"/>
</calcChain>
</file>

<file path=xl/sharedStrings.xml><?xml version="1.0" encoding="utf-8"?>
<sst xmlns="http://schemas.openxmlformats.org/spreadsheetml/2006/main" count="2006" uniqueCount="763">
  <si>
    <t>Item</t>
  </si>
  <si>
    <t>Note</t>
  </si>
  <si>
    <t>Purpose</t>
  </si>
  <si>
    <t>Source map for MISO2 recycling/downcycling inputs (Wiedenhofer et al. 2024, J. Ind. Ecol. 28(6), DOI 10.1111/jiec.13575, SI section 7) for iron/steel, aluminium, copper, concrete, asphalt and aggregates, plus values extracted from the original references where I could access them.</t>
  </si>
  <si>
    <t>Sheets</t>
  </si>
  <si>
    <t>Regional_rates_W2021 = the 9-world-region recycling/downcycling rates (most direct answer for your regions). Data = extracted values. Max_secondary_content = maximum recycled-aggregate shares by standard/end-use. MISO2_method = how MISO2 assigned rates by country/region. Sources = every reference MISO2 lists for these 6 materials, with hyperlink, region covered and access status. Data = values extracted, with year, region, indicator definition and location in the original.</t>
  </si>
  <si>
    <t>Rule followed</t>
  </si>
  <si>
    <t>A value appears in 'Data' only if I saw it in the source text this session. Nothing is estimated, interpolated or recalled from memory. Empty = not retrieved.</t>
  </si>
  <si>
    <t>Retrieval status codes</t>
  </si>
  <si>
    <t>Full text read = I read the document text and the location given is from it. Search snippet only = value seen in a search-engine excerpt of the original; location is as stated in the excerpt and must be checked. Secondary citation = value attributed to this source by ANOTHER document; not confirmed in the original.</t>
  </si>
  <si>
    <t>Page numbers</t>
  </si>
  <si>
    <t>Pages refer to the document version I read: JRC report pagination (Passarini), USGS 'X' pagination (Goonan), journal pagination (Graedel), and the UCL ACCEPTED MANUSCRIPT pagination for Zhang et al. 2020 (journal pages will differ; table/figure numbers should match).</t>
  </si>
  <si>
    <t>Indicator caution</t>
  </si>
  <si>
    <t>Region mapping</t>
  </si>
  <si>
    <t>Column 'Your region' maps each source to your 8 regions. Malaysia (Esa et al. 2017) falls in Southeast Asia, which is not one of your 8 regions; left unassigned. 'Global' sources are not regional.</t>
  </si>
  <si>
    <t>Duplicates in MISO2 list</t>
  </si>
  <si>
    <t>Passarini et al. 2018a and 2018b are the same JRC report (EUR 29220 EN); MISO2 cites 2018a for steel and 2018b for copper. EAPA 'year' in the MISO2 list = publication year; each edition reports the previous year (EAPA 2021 = Asphalt in Figures 2020).</t>
  </si>
  <si>
    <t>ID</t>
  </si>
  <si>
    <t>Material</t>
  </si>
  <si>
    <t>Source key</t>
  </si>
  <si>
    <t>Region in source</t>
  </si>
  <si>
    <t>Your region</t>
  </si>
  <si>
    <t>Data year</t>
  </si>
  <si>
    <t>Indicator (as named in source)</t>
  </si>
  <si>
    <t>Definition / formula in source</t>
  </si>
  <si>
    <t>Value</t>
  </si>
  <si>
    <t>Unit</t>
  </si>
  <si>
    <t>Location in source</t>
  </si>
  <si>
    <t>Retrieval</t>
  </si>
  <si>
    <t>Notes / flags</t>
  </si>
  <si>
    <t>Iron/steel</t>
  </si>
  <si>
    <t>Passarini 2018a/b</t>
  </si>
  <si>
    <t>EU-28</t>
  </si>
  <si>
    <t>Europe &amp; Russia</t>
  </si>
  <si>
    <t>2015</t>
  </si>
  <si>
    <t>EOL-RR (incl. exported old scrap)</t>
  </si>
  <si>
    <t>(G1.1+G1.2+G1.3)/(E1.6+F1.2-F1.1)</t>
  </si>
  <si>
    <t>%</t>
  </si>
  <si>
    <t>Table 5, p.28 (also text p.27 and Abstract p.4-5)</t>
  </si>
  <si>
    <t>Full text read</t>
  </si>
  <si>
    <t>81,333 of 108,075 kt Fe old scrap collected (p.27).</t>
  </si>
  <si>
    <t>EOL-RR (excl. exported old scrap)</t>
  </si>
  <si>
    <t>(G1.1+G1.2)/(E1.6+F1.2-F1.1)</t>
  </si>
  <si>
    <t>Table 5, p.28</t>
  </si>
  <si>
    <t>Domestic processing only.</t>
  </si>
  <si>
    <t>EOL-RIR</t>
  </si>
  <si>
    <t>(G1.1+G1.2)/(B1.1+B1.2+C1.3+D1.3+C1.4+G1.1+G1.2)</t>
  </si>
  <si>
    <t>Recycled-content type metric, not EOL-RR.</t>
  </si>
  <si>
    <t>Copper</t>
  </si>
  <si>
    <t>2014</t>
  </si>
  <si>
    <t>Table 4, p.22 (also Abstract p.4-5)</t>
  </si>
  <si>
    <t>1,603 of 2,625 kt Cu collected (p.22).</t>
  </si>
  <si>
    <t>Table 4, p.22</t>
  </si>
  <si>
    <t>Aluminium</t>
  </si>
  <si>
    <t>2013</t>
  </si>
  <si>
    <t>Table 3, p.17-18</t>
  </si>
  <si>
    <t>NOT in MISO2's aluminium source list; included because it is in the same report.</t>
  </si>
  <si>
    <t>Same caveat as above.</t>
  </si>
  <si>
    <t>Goonan 2009</t>
  </si>
  <si>
    <t>United States</t>
  </si>
  <si>
    <t>North America</t>
  </si>
  <si>
    <t>2004</t>
  </si>
  <si>
    <t>Recycling efficiency (old scrap)</t>
  </si>
  <si>
    <t>(old scrap consumed + old scrap exports) / (old scrap generated + old scrap imports + decrease in old scrap stocks)</t>
  </si>
  <si>
    <t>Table 1, p.X3; formula p.X23</t>
  </si>
  <si>
    <t>USGS definition; counts exported scrap as recycled.</t>
  </si>
  <si>
    <t>Recycling rate</t>
  </si>
  <si>
    <t>Scrap-derived copper as share of apparent supply</t>
  </si>
  <si>
    <t>Table 1, p.X3</t>
  </si>
  <si>
    <t>Supply-side metric (comparable in spirit to RIR).</t>
  </si>
  <si>
    <t>Old scrap recovered / old scrap generated</t>
  </si>
  <si>
    <t>772 kt / 1,920 kt</t>
  </si>
  <si>
    <t>Abstract p.X1; Figure 10, p.X19</t>
  </si>
  <si>
    <t>Share of old scrap supply exported</t>
  </si>
  <si>
    <t>633 kt / 855 kt</t>
  </si>
  <si>
    <t>Abstract p.X1; text p.X3</t>
  </si>
  <si>
    <t>Relevant for regional attribution of recycling.</t>
  </si>
  <si>
    <t>Overall scrap recycling efficiency (old + new scrap)</t>
  </si>
  <si>
    <t>As stated</t>
  </si>
  <si>
    <t>p.X23</t>
  </si>
  <si>
    <t>Graedel 2011</t>
  </si>
  <si>
    <t>Global</t>
  </si>
  <si>
    <t>Mostly 2000-2005</t>
  </si>
  <si>
    <t>EOL-RR (functional), bin</t>
  </si>
  <si>
    <t>Full text read (main text)</t>
  </si>
  <si>
    <t>Henckens &amp; Worrell 2020</t>
  </si>
  <si>
    <t>Not stated in excerpt</t>
  </si>
  <si>
    <t>EoL copper recycling rate</t>
  </si>
  <si>
    <t>Not identified (seen in ResearchGate excerpt)</t>
  </si>
  <si>
    <t>Search snippet only</t>
  </si>
  <si>
    <t>Excerpt attributes this to Spatari et al. 2005 and Goonan 2009.</t>
  </si>
  <si>
    <t>Excerpt attributes this to Glöser et al. (2013).</t>
  </si>
  <si>
    <t>Concrete</t>
  </si>
  <si>
    <t>Zhang 2020</t>
  </si>
  <si>
    <t>Netherlands</t>
  </si>
  <si>
    <t>EoL concrete: downcycling for (road) foundation</t>
  </si>
  <si>
    <t>Share of EoL concrete treatment</t>
  </si>
  <si>
    <t>Table 5, manuscript p.10</t>
  </si>
  <si>
    <t>Full text read (accepted manuscript)</t>
  </si>
  <si>
    <t>Underlying source: Zuidema et al. 2016 (EIB). Building/civil -&gt; road pathway.</t>
  </si>
  <si>
    <t>EoL concrete: downcycling for site elevation</t>
  </si>
  <si>
    <t>Elevation of foundations of roads and buildings (backfilling).</t>
  </si>
  <si>
    <t>EoL concrete: recycling for new concrete manufacturing</t>
  </si>
  <si>
    <t>Building -&gt; building (closed-loop) pathway.</t>
  </si>
  <si>
    <t>2015 (BAU)</t>
  </si>
  <si>
    <t>Destinations of EoL concrete: recycling / downcycling / landfilling</t>
  </si>
  <si>
    <t>Recycling = into concrete; downcycling = road base + building foundation</t>
  </si>
  <si>
    <t>Figure 9, manuscript p.15</t>
  </si>
  <si>
    <t>Model result (slightly differs from Table 5 inputs).</t>
  </si>
  <si>
    <t>2012 (Table 1 label)</t>
  </si>
  <si>
    <t>Concrete &amp; other masonry fraction of CDW: road base / site elevation / concrete industry</t>
  </si>
  <si>
    <t>Share of fraction by waste process</t>
  </si>
  <si>
    <t>78% / 19% / 3%</t>
  </si>
  <si>
    <t>Table 1, manuscript p.4; same split described as 2015 in text p.5</t>
  </si>
  <si>
    <t>Year inconsistency between Table 1 (2012) and text (2015) in the manuscript; check published version. Source: Zuidema et al. 2016.</t>
  </si>
  <si>
    <t>Secondary aggregate share in concrete manufacturing</t>
  </si>
  <si>
    <t>Share of secondary material in concrete inputs (by weight)</t>
  </si>
  <si>
    <t>Figure 8, manuscript p.14; Conclusions p.18</t>
  </si>
  <si>
    <t>Indicator of current uptake, not technical maximum.</t>
  </si>
  <si>
    <t>Europe (general statement)</t>
  </si>
  <si>
    <t>Not specified</t>
  </si>
  <si>
    <t>Typical partial replacement of coarse (&gt;4 mm) aggregate by crushed EoL concrete</t>
  </si>
  <si>
    <t>As stated in Introduction</t>
  </si>
  <si>
    <t>up to 20-30%</t>
  </si>
  <si>
    <t>Introduction, manuscript p.3</t>
  </si>
  <si>
    <t>Relevant to your 'maximum secondary content' question; general statement without its own citation.</t>
  </si>
  <si>
    <t>2001 / 2010</t>
  </si>
  <si>
    <t>CDW recycling rate (EU WFD definition, includes downcycling)</t>
  </si>
  <si>
    <t>WFD 'recycling' incl. backfilling</t>
  </si>
  <si>
    <t>Introduction, manuscript p.5</t>
  </si>
  <si>
    <t>Cited from Hu et al. 2013 and Eurostat 2018.</t>
  </si>
  <si>
    <t>2012</t>
  </si>
  <si>
    <t>Metals fraction of CDW: metals recycling</t>
  </si>
  <si>
    <t>Table 1, manuscript p.4</t>
  </si>
  <si>
    <t>Not in MISO2's steel list; metals not split by type.</t>
  </si>
  <si>
    <t>Asphalt</t>
  </si>
  <si>
    <t>EAPA 2014–2022</t>
  </si>
  <si>
    <t>Europe (17 countries available; 14 countries for application split)</t>
  </si>
  <si>
    <t>2020</t>
  </si>
  <si>
    <t>Application of available reclaimed asphalt: re-used / recycled / unknown or landfill</t>
  </si>
  <si>
    <t>Re-use = new mixes (HMA, WMA, half-WMA, CMA); recycling = unbound road layers &amp; other civil engineering</t>
  </si>
  <si>
    <t>64% / 33% / 3%</t>
  </si>
  <si>
    <t>Asphalt in Figures 2020 (= EAPA 2021), Figure 6-right; RA available in Table 6 (commented version)</t>
  </si>
  <si>
    <t>Total RA available: 46.4 Mt. Re-use = road-&gt;road; recycling = downcycling within roads/civil works. Table numbering may differ in the public version.</t>
  </si>
  <si>
    <t>Europe (17 countries)</t>
  </si>
  <si>
    <t>2021</t>
  </si>
  <si>
    <t>Reclaimed asphalt available to industry</t>
  </si>
  <si>
    <t>Total amount</t>
  </si>
  <si>
    <t>Mt</t>
  </si>
  <si>
    <t>Asphalt in Figures 2021 (= EAPA 2022), Table 5 / Figure 6 (commented version)</t>
  </si>
  <si>
    <t>Re-use/recycling split for 2021 not captured in excerpt.</t>
  </si>
  <si>
    <t>Concrete; Asphalt</t>
  </si>
  <si>
    <t>Wilburn &amp; Goonan 1998</t>
  </si>
  <si>
    <t>Denver, CO (US)</t>
  </si>
  <si>
    <t>1996</t>
  </si>
  <si>
    <t>Share of debris reused</t>
  </si>
  <si>
    <t>As reported by citing document</t>
  </si>
  <si>
    <t>80% asphalt pavement debris; 50% cement concrete debris</t>
  </si>
  <si>
    <t>Not verified in original</t>
  </si>
  <si>
    <t>Secondary citation</t>
  </si>
  <si>
    <t>Cited by USGS Fact Sheet 2006-3127 (https://pubs.usgs.gov/fs/2006/3127/2006-3127.pdf).</t>
  </si>
  <si>
    <t>~1997-1998</t>
  </si>
  <si>
    <t>Share of waste concrete recycled</t>
  </si>
  <si>
    <t>50-60%</t>
  </si>
  <si>
    <t>Cited jointly with Turley (2002) in US EPA WARM concrete chapter; attribution to W&amp;G alone is uncertain.</t>
  </si>
  <si>
    <t>López 2020</t>
  </si>
  <si>
    <t>Chile</t>
  </si>
  <si>
    <t>Latin America</t>
  </si>
  <si>
    <t>Residual (EoL) steel used by secondary industry</t>
  </si>
  <si>
    <t>Share of 1.00 Mt residual steel flow</t>
  </si>
  <si>
    <t>p.3, Section 3.1 and Fig. 1</t>
  </si>
  <si>
    <t>Full text read (uploaded PDF)</t>
  </si>
  <si>
    <t>Remaining 56% to final disposal. Domestic consumption 3.23 Mt; imports 62% of supply.</t>
  </si>
  <si>
    <t>Wang H. 2020</t>
  </si>
  <si>
    <t>China</t>
  </si>
  <si>
    <t>East Asia</t>
  </si>
  <si>
    <t>1995 / 2000 / 2005 / 2010 / 2015</t>
  </si>
  <si>
    <t>OSCr, metal ores</t>
  </si>
  <si>
    <t>Secondary materials / interim outputs (incl. refining waste)</t>
  </si>
  <si>
    <t>Table 2, p.9</t>
  </si>
  <si>
    <t>Aggregated metal-ores group, NOT steel or Al specifically, yet MISO2 cites it for steel, Al and lead (their SI may split by metal).</t>
  </si>
  <si>
    <t>ISCr, metal ores</t>
  </si>
  <si>
    <t>Secondary materials / processed materials</t>
  </si>
  <si>
    <t>19.7% / 23.2% / 24.0% / 22.0% / 22.7%</t>
  </si>
  <si>
    <t>Input-side rate, not EOL-RR.</t>
  </si>
  <si>
    <t>OSCr, non-metallic minerals</t>
  </si>
  <si>
    <t>Secondary materials / interim outputs</t>
  </si>
  <si>
    <t>Table 2, p.9; text p.6</t>
  </si>
  <si>
    <t>Text p.6 gives 2015 ISCr = 3.5% while Table 2 gives 3.8%: internal inconsistency.</t>
  </si>
  <si>
    <t>Maung 2017</t>
  </si>
  <si>
    <t>2010</t>
  </si>
  <si>
    <t>Secondary reserve ratio (= EoL recycling rate, recovered/generated EoL scrap)</t>
  </si>
  <si>
    <t>Eq. 7–8; EoL recycling rates from IAI GARC model (collection + recovery)</t>
  </si>
  <si>
    <t>Section 3.2, p.38; Fig. 4 p.37</t>
  </si>
  <si>
    <t>'About 70%' stated in text; Fig. 4 has the full 19-country time series 2000–2010 (read visually).</t>
  </si>
  <si>
    <t>Belgium</t>
  </si>
  <si>
    <t>Secondary reserve ratio (EoL recycling rate)</t>
  </si>
  <si>
    <t>As above</t>
  </si>
  <si>
    <t>Section 3.2, p.38</t>
  </si>
  <si>
    <t>Lowest of the 19 countries.</t>
  </si>
  <si>
    <t>p.39</t>
  </si>
  <si>
    <t>Paper also cites Norgate &amp; Rankin (2002) 32% US; Chen (2013) US 34% (1980) and 61% (2009).</t>
  </si>
  <si>
    <t>United Kingdom</t>
  </si>
  <si>
    <t>Compared with Henstock (1996) UK 31% for 1988, i.e. the MISO2 source Henstock is cited inside Maung.</t>
  </si>
  <si>
    <t>Multiple</t>
  </si>
  <si>
    <t>Soulier 2018</t>
  </si>
  <si>
    <t>1990–1999 / 2000–2009 / 2010–2015 (means)</t>
  </si>
  <si>
    <t>EoL recycling rate (EoL RR)</t>
  </si>
  <si>
    <t>EoL collection rate x EoL processing rate</t>
  </si>
  <si>
    <t>Table 2, p.445</t>
  </si>
  <si>
    <t>Monte Carlo SD ±19–23 pp; authors flag EoL CR and EoL RR as least robust.</t>
  </si>
  <si>
    <t>1990–1999 / 2000–2009 / 2010–2015</t>
  </si>
  <si>
    <t>EoL collection rate / EoL processing rate</t>
  </si>
  <si>
    <t>As defined in Tercero Espinoza &amp; Soulier (2018)</t>
  </si>
  <si>
    <t>CR 57/65/83%; PR 63/64/64%</t>
  </si>
  <si>
    <t>RIR / EoL RIR / Overall RER / OSR</t>
  </si>
  <si>
    <t>As defined in paper</t>
  </si>
  <si>
    <t>RIR 45/43/44%; EoL RIR 18/29/29%; Overall RER 69/69/74%; OSR 23/30/34%</t>
  </si>
  <si>
    <t>EoL RIR assumes imported scrap = 100% old scrap (upper bound).</t>
  </si>
  <si>
    <t>model assumption</t>
  </si>
  <si>
    <t>Technical processing efficiency by scrap type</t>
  </si>
  <si>
    <t>Assumed parameter</t>
  </si>
  <si>
    <t>C&amp;D 90%; MSW 20%; WEEE 55%; ELV 55%; imported scrap 55% rising to ~100% by 2013</t>
  </si>
  <si>
    <t>Section 2.3.1–2.3.2, pp.437–438</t>
  </si>
  <si>
    <t>Model inputs, not measured rates.</t>
  </si>
  <si>
    <t>Haas 2023</t>
  </si>
  <si>
    <t>South Africa</t>
  </si>
  <si>
    <t>Sub-Saharan Africa</t>
  </si>
  <si>
    <t>2017</t>
  </si>
  <si>
    <t>End-of-life steel: recycled / reused</t>
  </si>
  <si>
    <t>Mass flows</t>
  </si>
  <si>
    <t>4 Mt EoL; 2 Mt recycled; 0.1 Mt reused</t>
  </si>
  <si>
    <t>Section 3.4, p.6</t>
  </si>
  <si>
    <t>Section 3.3 (p.6) gives a slightly different steel-complex balance: 4.1 Mt EoL, 2.4 Mt recovered as scrap (0.5 Mt exported), 0.2 Mt reused.</t>
  </si>
  <si>
    <t>Concrete; Asphalt; Bricks</t>
  </si>
  <si>
    <t>Non-metallic minerals EoL waste: reused / recycled</t>
  </si>
  <si>
    <t>21 Mt EoL; 2.8 Mt reused (mainly container glass, bricks); 3.3 Mt recycled (mainly concrete, asphalt)</t>
  </si>
  <si>
    <t>Section 4.2, p.7 (section 3.2 p.6 rounds to 3 Mt each)</t>
  </si>
  <si>
    <t>No concrete- or asphalt-specific rate given; concrete described as 'very low'.</t>
  </si>
  <si>
    <t>Bricks</t>
  </si>
  <si>
    <t>Clay bricks reuse</t>
  </si>
  <si>
    <t>Share of EoL clay bricks</t>
  </si>
  <si>
    <t>14% (p.6) vs 90% (p.6, same section)</t>
  </si>
  <si>
    <t>Internal contradiction in the paper (0.1 of 0.8 Mt reused = 14%; later 'clay bricks (90%)'). Do not use without checking SI.</t>
  </si>
  <si>
    <t>Combined reuse + recycling rate of EoL metals (steel, copper, lead, aluminium)</t>
  </si>
  <si>
    <t>Share of EoL waste</t>
  </si>
  <si>
    <t>Lead &gt;90%; aluminium 'similar' (0.2 Mt EoL).</t>
  </si>
  <si>
    <t>Concrete; Bricks; Iron/steel</t>
  </si>
  <si>
    <t>Zheng 2017</t>
  </si>
  <si>
    <t>2013 (scenarios)</t>
  </si>
  <si>
    <t>Scenario recycling rates (worst = 'relatively close to current situation')</t>
  </si>
  <si>
    <t>Scenario assumptions</t>
  </si>
  <si>
    <t>Table 3 and Section 2.3, p.409</t>
  </si>
  <si>
    <t>Assumptions, not measurements. Metal 75% from a Shenzhen survey (range 50–100%).</t>
  </si>
  <si>
    <t>~2014</t>
  </si>
  <si>
    <t>C&amp;D waste recycling rate (cited)</t>
  </si>
  <si>
    <t>As reported</t>
  </si>
  <si>
    <t>Introduction, p.407</t>
  </si>
  <si>
    <t>Cites CSATICRI (2014) industry report; authors call it unreliable for generation estimates.</t>
  </si>
  <si>
    <t>C&amp;D waste composition</t>
  </si>
  <si>
    <t>Mass share</t>
  </si>
  <si>
    <t>Concrete 48%; brick/block 21%; ceramic 10%; mortar 8%; metal 7%</t>
  </si>
  <si>
    <t>Section 3.2, p.410; Fig. 5 p.411</t>
  </si>
  <si>
    <t>Useful to split downcycling by material.</t>
  </si>
  <si>
    <t>Cao 2021</t>
  </si>
  <si>
    <t>US; China; India</t>
  </si>
  <si>
    <t>North America; East Asia; South Asia</t>
  </si>
  <si>
    <t>EoL concrete fate: buried (base material or landfill) vs recycled</t>
  </si>
  <si>
    <t>Sankey diagrams</t>
  </si>
  <si>
    <t>not labelled numerically</t>
  </si>
  <si>
    <t>—</t>
  </si>
  <si>
    <t>Figs A4–A8, Appendix pp.88–89 (PDF pp.98–99)</t>
  </si>
  <si>
    <t>'Buried' merges road-base use and landfill, so it cannot separate downcycling from disposal. Values would have to come from the IMAGINE Concrete model code.</t>
  </si>
  <si>
    <t>2020–2060 scenario</t>
  </si>
  <si>
    <t>Downcycling rate (defined as RCA replacing virgin aggregate in NEW CONCRETE)</t>
  </si>
  <si>
    <t>Scenario target</t>
  </si>
  <si>
    <t>rising linearly to 10% by 2060</t>
  </si>
  <si>
    <t>Section 4.2, lever L7a, p.52 (PDF p.62)</t>
  </si>
  <si>
    <t>Definition differs from MISO2 (MISO2 downcycling = into base-layer aggregates).</t>
  </si>
  <si>
    <t>Akhtar &amp; Sarmah 2018</t>
  </si>
  <si>
    <t>Australia</t>
  </si>
  <si>
    <t>Oceania</t>
  </si>
  <si>
    <t>~2011 (Hyder 2011)</t>
  </si>
  <si>
    <t>C&amp;D waste recovery rate</t>
  </si>
  <si>
    <t>Section 3.1, p.264</t>
  </si>
  <si>
    <t>Masonry (concrete, bricks, asphalt) = 72.3% of C&amp;D, of which 66% recycled. ACT 81%, SA 77%.</t>
  </si>
  <si>
    <t>New Zealand</t>
  </si>
  <si>
    <t>n.s.</t>
  </si>
  <si>
    <t>C&amp;D waste fate</t>
  </si>
  <si>
    <t>~0% recycled: 20% landfill, 80% cleanfill/inert landfill</t>
  </si>
  <si>
    <t>Concrete; Asphalt; Aggregates</t>
  </si>
  <si>
    <t>USA</t>
  </si>
  <si>
    <t>C&amp;D waste recycled (all) / bulk aggregate recycled</t>
  </si>
  <si>
    <t>As reported (Townsend et al. 2014)</t>
  </si>
  <si>
    <t>Section 3.2, p.265</t>
  </si>
  <si>
    <t>Concrete 67% and asphalt concrete 18% of US C&amp;D (2012–13).</t>
  </si>
  <si>
    <t>~2015</t>
  </si>
  <si>
    <t>Use of recycled concrete: backfill/road base vs new concrete</t>
  </si>
  <si>
    <t>SHARE OF SURVEY RESPONDENTS (Jin &amp; Chen 2015), not mass</t>
  </si>
  <si>
    <t>77% / 23%</t>
  </si>
  <si>
    <t>Indicates building-&gt;road dominates over building-&gt;building, but is not a mass split.</t>
  </si>
  <si>
    <t>Canada</t>
  </si>
  <si>
    <t>C&amp;D recovery rate</t>
  </si>
  <si>
    <t>As reported (Statistics Canada 2015c)</t>
  </si>
  <si>
    <t>Mexico</t>
  </si>
  <si>
    <t>policy target</t>
  </si>
  <si>
    <t>Minimum recycling target, category A (concrete, mortar)</t>
  </si>
  <si>
    <t>Section 3.3, p.265</t>
  </si>
  <si>
    <t>Target, not achieved rate. Brazil: recovery 'minimal', no number.</t>
  </si>
  <si>
    <t>EU countries</t>
  </si>
  <si>
    <t>various (2004–2013)</t>
  </si>
  <si>
    <t>C&amp;D recycling/recovery rates (country statements)</t>
  </si>
  <si>
    <t>Section 3.4, pp.265–267</t>
  </si>
  <si>
    <t>Underlying sources differ by country (Deloitte 2015 factsheets, Eurostat, etc.).</t>
  </si>
  <si>
    <t>Japan</t>
  </si>
  <si>
    <t>1996 / 2008</t>
  </si>
  <si>
    <t>Recycling rate, construction waste incl. asphalt-concrete blocks</t>
  </si>
  <si>
    <t>Section 3.5, p.267</t>
  </si>
  <si>
    <t>1996 figure from Nakajima &amp; Futaki (2002), another MISO2 source.</t>
  </si>
  <si>
    <t>South Korea</t>
  </si>
  <si>
    <t>1996 / 2011</t>
  </si>
  <si>
    <t>C&amp;D recycling rate</t>
  </si>
  <si>
    <t>As reported (Yang et al. 2015)</t>
  </si>
  <si>
    <t>Section 3.5, pp.267–268</t>
  </si>
  <si>
    <t>Concrete 65% and asphalt 18.9% of Korean C&amp;D.</t>
  </si>
  <si>
    <t>China; India</t>
  </si>
  <si>
    <t>East Asia; South Asia</t>
  </si>
  <si>
    <t>C&amp;D recycling</t>
  </si>
  <si>
    <t>No data available (China); India standard IS 383 does not permit RA in concrete</t>
  </si>
  <si>
    <t>South Africa; Nigeria</t>
  </si>
  <si>
    <t>~2011–2014</t>
  </si>
  <si>
    <t>Section 3.6, p.268</t>
  </si>
  <si>
    <t>Tam 2018</t>
  </si>
  <si>
    <t>not stated (compiled from refs)</t>
  </si>
  <si>
    <t>C&amp;D waste recovery (%)</t>
  </si>
  <si>
    <t>Table 1, p.277</t>
  </si>
  <si>
    <t>Year per country not given; each row has its own reference. Note conflicts with Akhtar &amp; Sarmah (e.g., USA 48% vs &gt;70%; China 40% vs &lt;5% in Zheng 2017).</t>
  </si>
  <si>
    <t>Aggregates</t>
  </si>
  <si>
    <t>11 European countries</t>
  </si>
  <si>
    <t>Recycled vs total aggregate production (UEPG)</t>
  </si>
  <si>
    <t>Mt recycled / Mt total</t>
  </si>
  <si>
    <t>Belgium 15/81; Denmark 2/45; France 20/323; Germany 68/545; Ireland 0/28; Netherlands 18/80; Norway 2/84; Portugal 0/31; Spain 1/96; Switzerland 5/49; UK 52/248</t>
  </si>
  <si>
    <t>Fig. 3, p.277</t>
  </si>
  <si>
    <t>Recycled-aggregate uptake, i.e. secondary content of aggregate supply.</t>
  </si>
  <si>
    <t>EoL steel recycled (absolute)</t>
  </si>
  <si>
    <t>Mass flow, M4.2.1</t>
  </si>
  <si>
    <t>SI Excel, sheet 'Table S2 Basic flows in 2010', row M4.2.1</t>
  </si>
  <si>
    <t>Full text + SI read (uploaded)</t>
  </si>
  <si>
    <t>Absolute flow, not a rate. Sources: China Waste Steel Application Association (2012) for 2009–2010. MISO2 SI (Section 9.1) notes its EoL-absolute-recycling inputs that deviate belong to China, consistent with absolute flows being used for China (my inference).</t>
  </si>
  <si>
    <t>EoL copper recycled (absolute)</t>
  </si>
  <si>
    <t>Mass flow, M4.2.2.1</t>
  </si>
  <si>
    <t>SI Excel, 'Table S2', row M4.2.2.1</t>
  </si>
  <si>
    <t>Source: China Nonferrous Metals Industry Yearbooks.</t>
  </si>
  <si>
    <t>EoL aluminium recycled (absolute)</t>
  </si>
  <si>
    <t>Mass flow, M4.2.2.2</t>
  </si>
  <si>
    <t>SI Excel, 'Table S2', row M4.2.2.2</t>
  </si>
  <si>
    <t>Construction waste recycling rates used</t>
  </si>
  <si>
    <t>Taken from Zheng et al. 2017</t>
  </si>
  <si>
    <t>Nonmetallic minerals 5%; metals 75%; wood 5%; others 0%</t>
  </si>
  <si>
    <t>SI Excel, sheet 'A4 Construction waste'</t>
  </si>
  <si>
    <t>Same assumptions as Zheng 2017 (scenario-based). Generation scaled down by factor 2.69 to match official 2016 figure: 1.147 Gt vs 3.085 Gt (2010).</t>
  </si>
  <si>
    <t>Nonmetallic minerals recycled from construction waste (absolute)</t>
  </si>
  <si>
    <t>Mass flow, M4.3.1</t>
  </si>
  <si>
    <t>SI Excel, 'Table S2', row M4.3.1</t>
  </si>
  <si>
    <t>vs 925.9 Mt nonmetallic C&amp;D waste disposed (sheet A4).</t>
  </si>
  <si>
    <t>Key</t>
  </si>
  <si>
    <t>MISO2 material(s)</t>
  </si>
  <si>
    <t>Full reference (as in MISO2 list)</t>
  </si>
  <si>
    <t>Link</t>
  </si>
  <si>
    <t>Region covered (from title/text)</t>
  </si>
  <si>
    <t>Access status (this session)</t>
  </si>
  <si>
    <t>Notes</t>
  </si>
  <si>
    <t>MISO2</t>
  </si>
  <si>
    <t>All (parameter compilation)</t>
  </si>
  <si>
    <t>Wiedenhofer, D., Streeck, J., Wieland, H., Grammer, B., Baumgart, A., Plank, B., Helbig, C., Pauliuk, S., Haberl, H., Krausmann, F., 2024. From extraction to end-uses and waste management: Modeling economy-wide material cycles and stock dynamics around the world. J. Ind. Ecol. 28(6), 1464–1480.</t>
  </si>
  <si>
    <t>https://doi.org/10.1111/jiec.13575</t>
  </si>
  <si>
    <t>177 countries</t>
  </si>
  <si>
    <t>All</t>
  </si>
  <si>
    <t>Full text read (SI uploaded)</t>
  </si>
  <si>
    <t>Recycling/downcycling rates from 72 sources, SI section 7. Downcycling modeled only for non-metallic construction minerals (into aggregates). SI section 7 (p.52) lists sources only; parameter VALUES are in exogenous input files, not in the SI. See sheet MISO2_method.</t>
  </si>
  <si>
    <t>Pounds 1959</t>
  </si>
  <si>
    <t>Pounds, N.J.G., 1959. World Production and Use of Steel Scrap. Econ. Geogr. 35, 247–258.</t>
  </si>
  <si>
    <t>https://doi.org/10.2307/142065</t>
  </si>
  <si>
    <t>World (per title)</t>
  </si>
  <si>
    <t>Not attempted</t>
  </si>
  <si>
    <t>JSTOR.</t>
  </si>
  <si>
    <t>Iron/steel (2018a); Copper (2018b)</t>
  </si>
  <si>
    <t>Passarini, F., Ciacci, L., Nuss, P., Manfredi, S., 2018. Material Flow Analysis of Aluminium, Copper, and Iron in the EU-28 (JRC Technical Reports, EUR 29220 EN). Publications Office of the European Union, Luxembourg.</t>
  </si>
  <si>
    <t>https://rmis.jrc.ec.europa.eu/uploads/MFA_Report_June2018_FINAL.pdf</t>
  </si>
  <si>
    <t>Report DOI 10.2760/1079. Also contains aluminium values (not in MISO2's Al list).</t>
  </si>
  <si>
    <t>López, C., Peña, C., Muñoz, E., 2020. Impact of the Secondary Steel Circular Economy Model on Resource Use and the Environmental Impact of Steel Production in Chile. IOP Conf. Ser. Earth Environ. Sci. 503, 012024.</t>
  </si>
  <si>
    <t>https://doi.org/10.1088/1755-1315/503/1/012024</t>
  </si>
  <si>
    <t>Chile (2015 data per abstract)</t>
  </si>
  <si>
    <t>Open access on IOPscience; download manually.</t>
  </si>
  <si>
    <t>Iron/steel; Aluminium</t>
  </si>
  <si>
    <t>Wang, H., Schandl, H., Wang, X., Ma, F., Yue, Q., Wang, G., Wang, Y., Wei, Y., Zhang, Z., Zheng, R., 2020. Measuring progress of China's circular economy. Resour. Conserv. Recycl. 163, 105070.</t>
  </si>
  <si>
    <t>https://doi.org/10.1016/j.resconrec.2020.105070</t>
  </si>
  <si>
    <t>Also MISO2's only source for lead. Reports 'metal ores' as one group; steel/Al/lead not separated in main text (check its SI). SI (Excel) gives China 2010 absolute EoL recycling by metal (Table S2) - see Data rows.</t>
  </si>
  <si>
    <t>Henstock 1996</t>
  </si>
  <si>
    <t>Henstock, M.E., 1996. The recycling of non-ferrous metals. International Council on Metals and the Environment.</t>
  </si>
  <si>
    <t>Not stated in title</t>
  </si>
  <si>
    <t>Check</t>
  </si>
  <si>
    <t>Book; no online link found.</t>
  </si>
  <si>
    <t>Graedel, T.E., Allwood, J., Birat, J.-P., Buchert, M., Hagelüken, C., Reck, B.K., Sibley, S.F., Sonnemann, G., 2011. What Do We Know About Metal Recycling Rates? J. Ind. Ecol. 15, 355–366.</t>
  </si>
  <si>
    <t>https://doi.org/10.1111/j.1530-9290.2011.00342.x</t>
  </si>
  <si>
    <t>Full text read (uploaded PDF); SI NOT received</t>
  </si>
  <si>
    <t>Full text via https://digitalcommons.unl.edu/cgi/viewcontent.cgi?article=1605&amp;context=usgsstaffpub . Main text gives only bins; numeric estimates are in SI S1-1/S1-2 (not accessed). Uploaded file is the main article only (pp.355–366); numeric estimates are in SI S1-1/S1-2, not received.</t>
  </si>
  <si>
    <t>IAA 2017</t>
  </si>
  <si>
    <t>International Aluminum Association, 2017. Estimated Collection (Recycling) Rate of Old Scrap.</t>
  </si>
  <si>
    <t>Unclear</t>
  </si>
  <si>
    <t>No link in MISO2 list; publisher identity should be checked.</t>
  </si>
  <si>
    <t>Maung, K.N., Yoshida, T., Liu, G., Lwin, C.M., Muller, D.B., Hashimoto, S., 2017. Assessment of secondary aluminum reserves of nations. Resour. Conserv. Recycl. 126, 34–41.</t>
  </si>
  <si>
    <t>https://doi.org/10.1016/j.resconrec.2017.06.016</t>
  </si>
  <si>
    <t>Multiple nations</t>
  </si>
  <si>
    <t>Daigo 2009</t>
  </si>
  <si>
    <t>Daigo, I., Hashimoto, S., Matsuno, Y., Adachi, Y., 2009. Material stocks and flows accounting for copper and copper-based alloys in Japan. Resour. Conserv. Recycl. 53, 208–217.</t>
  </si>
  <si>
    <t>https://doi.org/10.1016/j.resconrec.2008.11.010</t>
  </si>
  <si>
    <t>Goonan, T.G., 2009. Copper recycling in the United States in 2004 (USGS Circular 1196-X).</t>
  </si>
  <si>
    <t>https://pubs.usgs.gov/circ/circ1196x/pdf/circ1196X.pdf</t>
  </si>
  <si>
    <t>Henckens, M.L.C.M., Worrell, E., 2020. Reviewing the availability of copper and nickel for future generations. J. Clean. Prod. 264, 121460.</t>
  </si>
  <si>
    <t>https://doi.org/10.1016/j.jclepro.2020.121460</t>
  </si>
  <si>
    <t>Global + regional</t>
  </si>
  <si>
    <t>Le Boulzec 2022</t>
  </si>
  <si>
    <t>Le Boulzec, H., Delannoy, L., Andrieu, B., Verzier, F., Vidal, O., Mathy, S., 2022. Dynamic modeling of global fossil fuel infrastructure and materials needs. Appl. Energy 326, 119871.</t>
  </si>
  <si>
    <t>https://doi.org/10.1016/j.apenergy.2022.119871</t>
  </si>
  <si>
    <t>Loibl 2021</t>
  </si>
  <si>
    <t>Loibl, A., Tercero Espinoza, L.A., 2021. Current challenges in copper recycling... Europe and North America. Resour. Conserv. Recycl. 169, 105462.</t>
  </si>
  <si>
    <t>https://doi.org/10.1016/j.resconrec.2021.105462</t>
  </si>
  <si>
    <t>Europe; North America</t>
  </si>
  <si>
    <t>Europe &amp; Russia; North America</t>
  </si>
  <si>
    <t>Attempted - blocked (no readable text)</t>
  </si>
  <si>
    <t>Ruhrberg 2006</t>
  </si>
  <si>
    <t>Ruhrberg, M., 2006. Assessing the recycling efficiency of copper from end-of-life products in Western Europe. Resour. Conserv. Recycl. 48, 141–165.</t>
  </si>
  <si>
    <t>https://doi.org/10.1016/j.resconrec.2006.01.003</t>
  </si>
  <si>
    <t>Western Europe</t>
  </si>
  <si>
    <t>Soulier, M., Pfaff, M., Goldmann, D., Walz, R., Geng, Y., Zhang, L., Tercero Espinoza, L.A., 2018. The Chinese copper cycle. J. Clean. Prod. 195, 435–447.</t>
  </si>
  <si>
    <t>https://doi.org/10.1016/j.jclepro.2018.04.243</t>
  </si>
  <si>
    <t>Watari 2021</t>
  </si>
  <si>
    <t>Watari, T., Nansai, K., Nakajima, K., 2021. Major metals demand, supply, and environmental impacts to 2100: A critical review. Resour. Conserv. Recycl. 164, 105107.</t>
  </si>
  <si>
    <t>https://doi.org/10.1016/j.resconrec.2020.105107</t>
  </si>
  <si>
    <t>Akhtar, A., Sarmah, A.K., 2018. Construction and demolition waste generation and properties of recycled aggregate concrete: A global perspective. J. Clean. Prod. 186, 262–281.</t>
  </si>
  <si>
    <t>https://doi.org/10.1016/j.jclepro.2018.03.085</t>
  </si>
  <si>
    <t>~40 countries (per abstract)</t>
  </si>
  <si>
    <t>MISO2's ONLY source for aggregates; country-level tables likely the key input.</t>
  </si>
  <si>
    <t>Arm 2017</t>
  </si>
  <si>
    <t>Arm, M., Wik, O., Engelsen, C.J., Erlandsson, M., Hjelmar, O., Wahlström, M., 2017. How Does the European Recovery Target for C&amp;D Waste Affect Resource Management? Waste Biomass Valorization 8, 1491–1504.</t>
  </si>
  <si>
    <t>https://doi.org/10.1007/s12649-016-9661-7</t>
  </si>
  <si>
    <t>Europe</t>
  </si>
  <si>
    <t>Cao, Z., Masanet, E., Tiwari, A., Akolawala, S., 2021. Decarbonizing Concrete: Deep decarbonization pathways for the cement and concrete cycle in the United States, India, and China. Northwestern University.</t>
  </si>
  <si>
    <t>US; India; China</t>
  </si>
  <si>
    <t>North America; South Asia; East Asia</t>
  </si>
  <si>
    <t>Report; no DOI. Report (103 pp). EoL concrete fates shown only as unlabelled Sankeys (Figs A4–A8).</t>
  </si>
  <si>
    <t>García 2012</t>
  </si>
  <si>
    <t>García, F.P., Martínez, Y.R., Sandoval, O.A.A., Martínez, A.J.G., 2012. Recovery of Waste of Construction, Demolition and Mining Tailings. Int. J. Appl. Sci. Technol. 2.</t>
  </si>
  <si>
    <t>https://doi.org/10.30845/ijast</t>
  </si>
  <si>
    <t>Mexico (per Akhtar &amp; Sarmah 2018)</t>
  </si>
  <si>
    <t>DOI in MISO2 list is journal-level only (incomplete). Akhtar &amp; Sarmah (2018, p.265) cite it for MEXICO -&gt; region Mexico.</t>
  </si>
  <si>
    <t>Gauch 2016</t>
  </si>
  <si>
    <t>Gauch, M., Matasci, C., Hincapié, I., Hörler, R., Böni, H., 2016. Material- und Energieressourcen sowie Umweltauswirkungen der baulichen Infrastruktur der Schweiz. EMPA/BAFU.</t>
  </si>
  <si>
    <t>Switzerland</t>
  </si>
  <si>
    <t>Report; no DOI.</t>
  </si>
  <si>
    <t>Haas, W., Virág, D., Wiedenhofer, D., Von Blottnitz, H., 2023. How circular is an extractive economy? South Africa... Resour. Conserv. Recycl. 199, 107290.</t>
  </si>
  <si>
    <t>https://doi.org/10.1016/j.resconrec.2023.107290</t>
  </si>
  <si>
    <t>South Africa (2017 waste data)</t>
  </si>
  <si>
    <t>Jin &amp; Chen 2015</t>
  </si>
  <si>
    <t>Jin, R., Chen, Q., 2015. Investigation of Concrete Recycling in the U.S. Construction Industry. Procedia Eng. 118, 894–901.</t>
  </si>
  <si>
    <t>https://doi.org/10.1016/j.proeng.2015.08.528</t>
  </si>
  <si>
    <t>Open access (Procedia).</t>
  </si>
  <si>
    <t>Monier 2011</t>
  </si>
  <si>
    <t>Monier, V., Mudgal, S., Hestin, M., Trarieux, M., Mimid, S., 2011. Service contract on management of construction and demolition waste – SR1. Final Report Task 2.</t>
  </si>
  <si>
    <t>EU</t>
  </si>
  <si>
    <t>EC DG ENV report (Bio Intelligence Service).</t>
  </si>
  <si>
    <t>Nakajima &amp; Futaki 2002</t>
  </si>
  <si>
    <t>Nakajima, S., Futaki, M., 2002. National R&amp;D project to promote recycle and reuse of timber constructions in Japan. CIB TG39 Meeting, Karlsruhe.</t>
  </si>
  <si>
    <t>Conference paper.</t>
  </si>
  <si>
    <t>Schut 2015</t>
  </si>
  <si>
    <t>Schut, E., Crielaard, M., Mesman, M., 2015. Circular economy in the Dutch construction sector.</t>
  </si>
  <si>
    <t>RIVM report.</t>
  </si>
  <si>
    <t>Sonawane 2013</t>
  </si>
  <si>
    <t>Sonawane, T., Pimplikar, S.S., 2013. Use of Recycled Aggregate Concrete. J. Mech. Civ. Eng. 5.</t>
  </si>
  <si>
    <t>India (per Wiedenhofer 2021 SI)</t>
  </si>
  <si>
    <t>South Asia</t>
  </si>
  <si>
    <t>IOSR journal; no DOI. Wiedenhofer et al. 2021 SI (Table SI3) uses it for INDIA concrete downcycling -&gt; region India.</t>
  </si>
  <si>
    <t>Tam, V.W.Y., Soomro, M., Evangelista, A.C.J., 2018. A review of recycled aggregate in concrete applications (2000–2017). Constr. Build. Mater. 172, 272–292.</t>
  </si>
  <si>
    <t>https://doi.org/10.1016/j.conbuildmat.2018.03.240</t>
  </si>
  <si>
    <t>Global review</t>
  </si>
  <si>
    <t>Likely relevant also for max substitution rates. Key source for maximum recycled-aggregate content (Table 3, pp.283–287).</t>
  </si>
  <si>
    <t>Wilburn, D., Goonan, T., 1998. Aggregates from natural and recycled sources (USGS Circular 1176).</t>
  </si>
  <si>
    <t>https://pubs.usgs.gov/circ/1998/c1176/c1176.pdf</t>
  </si>
  <si>
    <t>Attempted - blocked (bot detection)</t>
  </si>
  <si>
    <t>Values in Data sheet are secondary citations only.</t>
  </si>
  <si>
    <t>Wu 2023</t>
  </si>
  <si>
    <t>Wu, T., Ng, S.T., Chen, J., Cao, Z., 2023. More intensive use and lifetime extension can enable net-zero emissions in China's cement cycle. Resour. Conserv. Recycl. 198, 107144.</t>
  </si>
  <si>
    <t>https://doi.org/10.1016/j.resconrec.2023.107144</t>
  </si>
  <si>
    <t>Zhang, C., Hu, M., Yang, X., Miranda-Xicotencatl, B., Sprecher, B., Di Maio, F., Zhong, X., Tukker, A., 2020. Upgrading construction and demolition waste management from downcycling to recycling in the Netherlands. J. Clean. Prod. 266, 121718.</t>
  </si>
  <si>
    <t>https://doi.org/10.1016/j.jclepro.2020.121718</t>
  </si>
  <si>
    <t>Manuscript read at https://discovery.ucl.ac.uk/id/eprint/10163918/ . Directly relevant to building-&gt;road vs building-&gt;building pathways.</t>
  </si>
  <si>
    <t>Zheng, L., Wu, H., Zhang, H., Duan, H., Wang, J., Jiang, W., Dong, B., Liu, G., Zuo, J., Song, Q., 2017. Characterizing the generation and flows of construction and demolition waste in China. Constr. Build. Mater. 136, 405–413.</t>
  </si>
  <si>
    <t>https://doi.org/10.1016/j.conbuildmat.2017.01.055</t>
  </si>
  <si>
    <t>EAPA, 2014–2022. Asphalt in Figures 2013–2021 (9 editions). European Asphalt Pavement Association.</t>
  </si>
  <si>
    <t>https://eapa.org/asphalt-in-figures/</t>
  </si>
  <si>
    <t>Europe (reporting countries)</t>
  </si>
  <si>
    <t>Search snippet only (2020, 2021 editions)</t>
  </si>
  <si>
    <t>Link is EAPA's current page; older editions must be requested/archived. 're-use' = into new asphalt (road-&gt;road); 'recycling' = unbound layers/civil engineering (downcycling).</t>
  </si>
  <si>
    <t>Esa 2017</t>
  </si>
  <si>
    <t>Esa, M.R., Halog, A., Rigamonti, L., 2017. Strategies for minimizing construction and demolition wastes in Malaysia. Resour. Conserv. Recycl. 120, 219–229.</t>
  </si>
  <si>
    <t>https://doi.org/10.1016/j.resconrec.2016.12.014</t>
  </si>
  <si>
    <t>Malaysia</t>
  </si>
  <si>
    <t>Unassigned (SE Asia)</t>
  </si>
  <si>
    <t>Gálvez-Martos 2018</t>
  </si>
  <si>
    <t>Gálvez-Martos, J.-L., Styles, D., Schoenberger, H., Zeschmar-Lahl, B., 2018. Construction and demolition waste best management practice in Europe. Resour. Conserv. Recycl. 136, 166–178.</t>
  </si>
  <si>
    <t>https://doi.org/10.1016/j.resconrec.2018.04.016</t>
  </si>
  <si>
    <t>Wang Z. 2023</t>
  </si>
  <si>
    <t>Wang, Z., Wiedenhofer, D., Stephan, A., Perrotti, D., Van den bergh, W., Cao, Z., 2023. High-Resolution Mapping of Material Stocks in Belgian Road Infrastructure... Environ. Sci. Technol. 57, 12674–12688.</t>
  </si>
  <si>
    <t>https://doi.org/10.1021/acs.est.2c08703</t>
  </si>
  <si>
    <t>Wiedenhofer 2021</t>
  </si>
  <si>
    <t>All (MISO2 fallback for countries without data)</t>
  </si>
  <si>
    <t>Wiedenhofer, D., Fishman, T., Plank, B., Miatto, A., Lauk, C., Haas, W., Haberl, H., Krausmann, F., 2021. Prospects for a saturation of humanity's resource use? An analysis of material stocks and flows in nine world regions from 1900 to 2035. Glob. Environ. Change 71, 102410.</t>
  </si>
  <si>
    <t>https://doi.org/10.1016/j.gloenvcha.2021.102410</t>
  </si>
  <si>
    <t>9 world regions</t>
  </si>
  <si>
    <t>All 8 (see mapping)</t>
  </si>
  <si>
    <t>SI read (uploaded docx)</t>
  </si>
  <si>
    <t>Table SI3 = regional recycling/downcycling rates actually used. MISO2 SI Step 6 assigns these to countries with no own data.</t>
  </si>
  <si>
    <t>Region / standard</t>
  </si>
  <si>
    <t>End-use</t>
  </si>
  <si>
    <t>Recycled material</t>
  </si>
  <si>
    <t>Maximum share allowed / recommended</t>
  </si>
  <si>
    <t>Conditions</t>
  </si>
  <si>
    <t>Source</t>
  </si>
  <si>
    <t>Location</t>
  </si>
  <si>
    <t>Australia, HB 155:2002</t>
  </si>
  <si>
    <t>≤40 MPa</t>
  </si>
  <si>
    <t>Table 3, p.283</t>
  </si>
  <si>
    <t>RCA Class 1B (with crushed brick)</t>
  </si>
  <si>
    <t>≤25 MPa</t>
  </si>
  <si>
    <t>Hong Kong, CS-3:2013</t>
  </si>
  <si>
    <t>RCA</t>
  </si>
  <si>
    <t>25–35 MPa structural; 20 MPa non-structural</t>
  </si>
  <si>
    <t>Belgium, PTV 406</t>
  </si>
  <si>
    <t>RCA coarse / RMA coarse</t>
  </si>
  <si>
    <t>Coarse only (fines not allowed); RMA coarse &lt;100%</t>
  </si>
  <si>
    <t>≤C30/37 (RCA); ≤C16/20 (RMA)</t>
  </si>
  <si>
    <t>Table 3, pp.283–284</t>
  </si>
  <si>
    <t>Denmark, DS 2426</t>
  </si>
  <si>
    <t>≤40 MPa, moderate/passive exposure</t>
  </si>
  <si>
    <t>Table 3, p.284; text p.287</t>
  </si>
  <si>
    <t>Germany, DAfStb 2010</t>
  </si>
  <si>
    <t>Structural concrete</t>
  </si>
  <si>
    <t>Exposure-class dependent</t>
  </si>
  <si>
    <t>Section 9.2.3.4, p.287</t>
  </si>
  <si>
    <t>Germany (guidelines, general)</t>
  </si>
  <si>
    <t>RA</t>
  </si>
  <si>
    <t>p.275</t>
  </si>
  <si>
    <t>Italy, NTC 2008</t>
  </si>
  <si>
    <t>Strength class</t>
  </si>
  <si>
    <t>Table 4, p.287</t>
  </si>
  <si>
    <t>Netherlands, NEN 5942/5921/5930 (NEN EN 12620:2013)</t>
  </si>
  <si>
    <t>RCA coarse</t>
  </si>
  <si>
    <t>45 MPa</t>
  </si>
  <si>
    <t>Table 3, p.285</t>
  </si>
  <si>
    <t>Portugal, LNEC E471</t>
  </si>
  <si>
    <t>RCA1 / RCA2</t>
  </si>
  <si>
    <t>C35/45 / C40/50</t>
  </si>
  <si>
    <t>RILEM</t>
  </si>
  <si>
    <t>RCA1 / RCA2 / RMA</t>
  </si>
  <si>
    <t>C50/60 / C16/20 / no limit</t>
  </si>
  <si>
    <t>Table 3, pp.285–286</t>
  </si>
  <si>
    <t>Spain, EHE-08</t>
  </si>
  <si>
    <t>40 MPa; not in prestressed</t>
  </si>
  <si>
    <t>Table 3, p.286; text p.287</t>
  </si>
  <si>
    <t>Switzerland, OT 70085</t>
  </si>
  <si>
    <t>Not in reinforced concrete for some classes</t>
  </si>
  <si>
    <t>Table 3, p.286</t>
  </si>
  <si>
    <t>UK, BS 8500-2</t>
  </si>
  <si>
    <t>C20/25–C40/50</t>
  </si>
  <si>
    <t>USA, ACI E-701</t>
  </si>
  <si>
    <t>USA, NRMCA study</t>
  </si>
  <si>
    <t>Most concrete incl. structural</t>
  </si>
  <si>
    <t>UK research (general)</t>
  </si>
  <si>
    <t>Most applications incl. structural</t>
  </si>
  <si>
    <t>Brazil, NBR 15.116</t>
  </si>
  <si>
    <t>Non-structural concrete only</t>
  </si>
  <si>
    <t>RCA/RMA</t>
  </si>
  <si>
    <t>Table 3, p.287</t>
  </si>
  <si>
    <t>India, IS 383 (1970)</t>
  </si>
  <si>
    <t>Only natural aggregates</t>
  </si>
  <si>
    <t>Literature synthesis</t>
  </si>
  <si>
    <t>with supplementary cementitious materials</t>
  </si>
  <si>
    <t>Abstract p.262; Conclusions p.276</t>
  </si>
  <si>
    <t>Netherlands (general statement)</t>
  </si>
  <si>
    <t>Crushed EoL concrete (&gt;4 mm)</t>
  </si>
  <si>
    <t>Roads (general)</t>
  </si>
  <si>
    <t>Unbound base/sub-base</t>
  </si>
  <si>
    <t>RCA, RCB</t>
  </si>
  <si>
    <t>100% RCA/RCB blends tested as unbound base/sub-base in cited studies; RA with &lt;25% crushed brick suitable for sub-base</t>
  </si>
  <si>
    <t>Study-based, not a standard</t>
  </si>
  <si>
    <t>Section 6.1, pp.279–280</t>
  </si>
  <si>
    <t>MISO2 model assumption</t>
  </si>
  <si>
    <t>Base layers of roads</t>
  </si>
  <si>
    <t>virgin + downcycled aggregates (pooled)</t>
  </si>
  <si>
    <t>Aggregate per asphalt (kg/kg, 2016): 1.00 HI, 2.00 UMI, 3.24 LMI, 3.95 LI</t>
  </si>
  <si>
    <t>Demand met first by recycled aggregates, then by downcycled asphalt/bricks/concrete</t>
  </si>
  <si>
    <t>MISO2 SI</t>
  </si>
  <si>
    <t>Section 6.1, pp.48–52; Section 3.1 rules, p.16ff</t>
  </si>
  <si>
    <t>Base layers of buildings/civil eng.</t>
  </si>
  <si>
    <t>0.15 kg/kg concrete; 0.26 kg/kg timber; 0.25 kg/kg bricks</t>
  </si>
  <si>
    <t>Global, static multipliers</t>
  </si>
  <si>
    <t>Section 6.2, p.52</t>
  </si>
  <si>
    <t>Topic</t>
  </si>
  <si>
    <t>What the SI says</t>
  </si>
  <si>
    <t>SI location</t>
  </si>
  <si>
    <t>Where the numbers are</t>
  </si>
  <si>
    <t>SI section 7 lists only the sources per material. The rate values sit in exogenous input files (MISO2_EoLRateRecycling_v1, MISO2_TotalRateRecycling_v1, MISO2_EoLAbsoluteRecycling_v1, MISO2_TotalAbsoluteRecycling_v1, MISO2_EoLRateDowncycling_v1).</t>
  </si>
  <si>
    <t>Section 7, p.52; Table SI-23, Section 9.1, p.54</t>
  </si>
  <si>
    <t>Data-use hierarchy</t>
  </si>
  <si>
    <t>Model uses: total absolute recycling &gt; total rate &gt; EoL absolute &gt; EoL rate.</t>
  </si>
  <si>
    <t>Section 9.1, p.54ff</t>
  </si>
  <si>
    <t>Country assignment</t>
  </si>
  <si>
    <t>Country value used where available; regional value (e.g. EU-27) assigned to other countries in that region (example: Austria vs EU-27 aluminium).</t>
  </si>
  <si>
    <t>Section 2.1, Step 3, p.8</t>
  </si>
  <si>
    <t>Countries with no data</t>
  </si>
  <si>
    <t>Assigned world-regional parameters from Wiedenhofer et al. (2021), Glob. Environ. Change 71:102410 (nine world regions). Its SI is therefore the likely source of rates for MENA, SSA, South Asia, Latin America where no country source exists.</t>
  </si>
  <si>
    <t>Section 2.1, Step 6, p.9</t>
  </si>
  <si>
    <t>Time extrapolation</t>
  </si>
  <si>
    <t>Before 1990: world-regional trends from Wiedenhofer et al. (2021); after last datapoint: held constant to 2016.</t>
  </si>
  <si>
    <t>Section 2.1, Step 5, p.9</t>
  </si>
  <si>
    <t>Uncertainty scoring</t>
  </si>
  <si>
    <t>Geographical correlation: 1 = country data; 2 = similar region (e.g. EU); 3 = world region by proximity (e.g. SSA); 4 = global only. Indicator type scored (total vs EoL recycling, unclear, broader material).</t>
  </si>
  <si>
    <t>Table SI-2, pp.9–10</t>
  </si>
  <si>
    <t>Downcycling definition</t>
  </si>
  <si>
    <t>Downcycling only for asphalt, bricks, concrete -&gt; crushed into aggregates for base layers of roads and buildings. Single pooled 'aggr_dcycl' supply; no pathway-specific efficiencies (building-&gt;road, road-&gt;road etc.). No new-scrap downcycling.</t>
  </si>
  <si>
    <t>Section 3.1 rules, p.16ff; Table SI-14</t>
  </si>
  <si>
    <t>Aggregate demand rule</t>
  </si>
  <si>
    <t>Base-layer aggregate requirement is met first from recycled aggregates, then from downcycled asphalt/bricks/concrete, then virgin aggregates.</t>
  </si>
  <si>
    <t>Section 3.1 rules, p.16ff</t>
  </si>
  <si>
    <t>Regional fallback values</t>
  </si>
  <si>
    <t>Wiedenhofer et al. (2021) SI Table SI3 now transcribed in sheet Regional_rates_W2021. These are the rates MISO2 assigns to countries without country-specific sources.</t>
  </si>
  <si>
    <t>MISO2 SI Step 6, p.9; W2021 SI Table SI3</t>
  </si>
  <si>
    <t>Source: Wiedenhofer et al. 2021, Glob. Environ. Change 71:102410, SI Table SI3 (section 'Model parameters...' from SI p.6; parameter text pp.7–21). Values transcribed exactly; 2015 = value held constant from 2010 where text says so. Rates as fractions.</t>
  </si>
  <si>
    <t>Parameter</t>
  </si>
  <si>
    <t>Year</t>
  </si>
  <si>
    <t>Industrial Old World</t>
  </si>
  <si>
    <t>Industrial New World</t>
  </si>
  <si>
    <t>FSU</t>
  </si>
  <si>
    <t>Other Asia</t>
  </si>
  <si>
    <t>India</t>
  </si>
  <si>
    <t>MENA</t>
  </si>
  <si>
    <t>LACA</t>
  </si>
  <si>
    <t>SSA</t>
  </si>
  <si>
    <t>World</t>
  </si>
  <si>
    <t>MCS uncertainty (developed / developing)</t>
  </si>
  <si>
    <t>Source cited per region (Table SI3)</t>
  </si>
  <si>
    <t>1900</t>
  </si>
  <si>
    <t>±10% / ±15%</t>
  </si>
  <si>
    <t>IOW, INW, FSU: Pauliuk et al. 2013 (2010) + Pounds 1959 (1955); Other Asia, China, India, MENA, LACA, SSA: Pauliuk et al. 2012, reduced at same rate; World: assumption = industrial countries</t>
  </si>
  <si>
    <t>Same as above; 2010 value held constant to 2015</t>
  </si>
  <si>
    <t>All regions: IAI Global Aluminium Flow Model (Bertram et al. 2017; IAI 2017), 13 end-use sectors weighted by global market shares. 1900 = 0% all regions</t>
  </si>
  <si>
    <t>Recycling rate (total)</t>
  </si>
  <si>
    <t>±30% / ±45%</t>
  </si>
  <si>
    <t>Back-cast with temporal change of Glöser et al. 2013</t>
  </si>
  <si>
    <t>IOW: Soulier et al. 2018a (EU, 2005–2014); INW: = IOW; China: Soulier et al. 2018b (1990–2015); all others &amp; World: Wang et al. 2018 (2015)</t>
  </si>
  <si>
    <t>Recycling rate (into concrete)</t>
  </si>
  <si>
    <t>IOW: Arm 2017; INW: Tam 2018; FSU: = INW; Other Asia, China, LACA, SSA: Tam 2018; India: Akhtar &amp; Sarmah 2018; MENA: = Other Asia; World: average. 1900 = 0%</t>
  </si>
  <si>
    <t>Downcycling rate (of waste remaining after recycling)</t>
  </si>
  <si>
    <t>Assumption: 10% in industrial regions 1900–1970</t>
  </si>
  <si>
    <t>IOW: Arm 2017; INW: Tam 2018; FSU: = INW; Other Asia, China, LACA, SSA: Tam 2018; India: Sonawane &amp; Pimplikar 2013; MENA: = Other Asia; World: average</t>
  </si>
  <si>
    <t>Recycling rate (into asphalt)</t>
  </si>
  <si>
    <t>IOW: Arm 2017; INW, FSU: = IOW; Other Asia, China, LACA, SSA: Tam 2018; India: 'assumed similar to Esa et al. 2017' (Malaysia); MENA: = Other Asia; World: average. 1900 = 0%</t>
  </si>
  <si>
    <t>Same sourcing as asphalt recycling; 1900: 10% in IOW/INW/FSU, 0% elsewhere</t>
  </si>
  <si>
    <t>Recycling (re-use) rate</t>
  </si>
  <si>
    <t>Own assumption; declines to 0% by 1960</t>
  </si>
  <si>
    <t>Own assumption</t>
  </si>
  <si>
    <t>Own assumption; declines to 0% by 1970, then rises</t>
  </si>
  <si>
    <t>IOW, INW, Other Asia, China, LACA, SSA: Tam 2018; FSU: = INW; India: 'similar to Esa et al. 2017'; MENA: = Other Asia; World: average</t>
  </si>
  <si>
    <t>Aggregates (base layers)</t>
  </si>
  <si>
    <t>Recycling rate (re-use on site)</t>
  </si>
  <si>
    <t>1900 &amp; 2015</t>
  </si>
  <si>
    <t>Table: ±30% / ±45%; text: ±40% / ±60%</t>
  </si>
  <si>
    <t>IOW, INW: Arm 2017; all others: own assumption. Constant over time</t>
  </si>
  <si>
    <t>DERIVED (my calculation, Excel formulas): implied total recovery 2015 = RR + (1 − RR) × DR, following SI Eq. 7–8 (downcycling applies to EoL waste remaining after recycling)</t>
  </si>
  <si>
    <t>Indicator</t>
  </si>
  <si>
    <t>Implied total recovery (recycled + downcycled)</t>
  </si>
  <si>
    <t>Computed, not reported in SI.</t>
  </si>
  <si>
    <t>Share of recovered material that is recycled (closed loop)</t>
  </si>
  <si>
    <t>SI text: concrete ~6% recycled / 94% downcycled of recovery (USA basis, applied to all non-European regions); asphalt 85% / 15% outside industrial regions.</t>
  </si>
  <si>
    <t>MAPPING to your 8 regions (from SI Table SI1, p.4)</t>
  </si>
  <si>
    <t>W2021 region</t>
  </si>
  <si>
    <t>Your region(s)</t>
  </si>
  <si>
    <t>Caveat</t>
  </si>
  <si>
    <t>Europe &amp; Russia + East Asia</t>
  </si>
  <si>
    <t>Includes EU/EFTA/Balkans AND Japan, South Korea, Turkey.</t>
  </si>
  <si>
    <t>North America + Oceania</t>
  </si>
  <si>
    <t>USA, Canada, Australia, New Zealand only.</t>
  </si>
  <si>
    <t>Includes Central Asian republics.</t>
  </si>
  <si>
    <t>South Asia (ex-India) + SE Asia + Pacific</t>
  </si>
  <si>
    <t>Pakistan, Bangladesh, Sri Lanka, Nepal plus Indonesia, Thailand, Viet Nam, Pacific islands, DPRK, Mongolia.</t>
  </si>
  <si>
    <t>Middle East &amp; North Africa</t>
  </si>
  <si>
    <t>Turkey is in IOW, not MENA. MENA concrete/asphalt/bricks = copy of Other Asia.</t>
  </si>
  <si>
    <t>Recycling Rate</t>
  </si>
  <si>
    <t>Valid</t>
  </si>
  <si>
    <r>
      <t xml:space="preserve">Indicators are not interchangeable: </t>
    </r>
    <r>
      <rPr>
        <b/>
        <sz val="10"/>
        <rFont val="Arial"/>
        <family val="2"/>
      </rPr>
      <t>EOL-RR (share of end-of-life metal recycled)</t>
    </r>
    <r>
      <rPr>
        <sz val="10"/>
        <rFont val="Arial"/>
        <family val="2"/>
      </rPr>
      <t>, EOL-RIR / recycling rate (share of scrap in supply), old-scrap recycling efficiency (USGS definition), and C&amp;D 'recycling' (EU WFD definition includes downcycling/backfilling). Definitions are copied per row.</t>
    </r>
  </si>
  <si>
    <t>Share of secondary materials in produciton</t>
  </si>
  <si>
    <t>Recovery rate</t>
  </si>
  <si>
    <t>Table S1-1</t>
  </si>
  <si>
    <t>Table S1-2</t>
  </si>
  <si>
    <t>Table S1-3</t>
  </si>
  <si>
    <t>Fig 9</t>
  </si>
  <si>
    <t>recycling</t>
  </si>
  <si>
    <t>Citing of Coonan</t>
  </si>
  <si>
    <t>Downcycling</t>
  </si>
  <si>
    <t>Metal ores</t>
  </si>
  <si>
    <t>Non-metallic minerals</t>
  </si>
  <si>
    <t>France</t>
  </si>
  <si>
    <t>France, Germany</t>
  </si>
  <si>
    <t>Brazil</t>
  </si>
  <si>
    <t>Fig 4</t>
  </si>
  <si>
    <t>As reported, mixed definitions. Austria 87% (2013); Cyprus 59%; Czechia 95%; Estonia ~95% (2013); France ~45% (2011); EU avg 55%; Germany &gt;80%; Italy 75%; Netherlands 80% (+10% energy recovery); Sweden 50%; UK 86% (2011–12)</t>
  </si>
  <si>
    <t>As reported - 'Quite low'; &gt;90% of total waste landfilled (SA, 2011); no number for Nigeria</t>
  </si>
  <si>
    <t>Recovered / generated. Construction waste</t>
  </si>
  <si>
    <t>Taiwan</t>
  </si>
  <si>
    <t>Denmark</t>
  </si>
  <si>
    <t>Finland</t>
  </si>
  <si>
    <t>Germany</t>
  </si>
  <si>
    <t>Ireland</t>
  </si>
  <si>
    <t>Norway</t>
  </si>
  <si>
    <t>Portugal</t>
  </si>
  <si>
    <t>Spain</t>
  </si>
  <si>
    <t>Thailand</t>
  </si>
  <si>
    <t>Variable</t>
  </si>
  <si>
    <t>Max building</t>
  </si>
  <si>
    <t>Max Roads</t>
  </si>
  <si>
    <t>RCA Class 1A (coarse) - Structural</t>
  </si>
  <si>
    <t>RCA -20% structural; 100% non-structural</t>
  </si>
  <si>
    <t>RCA / RMA - Coarse &lt;100%; fines ≤20%</t>
  </si>
  <si>
    <t>RA Type 1/2 (&gt;2 mm). 25% (vol.) up to B35; 35% below B25</t>
  </si>
  <si>
    <t>RCA by source - 100% (from buildings, C8/10); 30% (≤C30/37); 60% (≤C20/25); 15% (≤C45/55); 5% (&gt;C45/55 parent)</t>
  </si>
  <si>
    <t>RCA1 / RCA2 / RMA - ≤100% coarse / ≤100% coarse / ≤20% coarse</t>
  </si>
  <si>
    <t>RCA / RA - ≤20% (RCA); ~100% RA only for C16/20</t>
  </si>
  <si>
    <t>Average of Value</t>
  </si>
  <si>
    <t>Values</t>
  </si>
  <si>
    <t>Count of Value</t>
  </si>
  <si>
    <t>Share for road</t>
  </si>
  <si>
    <t>Share elevation road</t>
  </si>
  <si>
    <t>Share in road</t>
  </si>
  <si>
    <t>As crushed road</t>
  </si>
  <si>
    <t>Re unknown road</t>
  </si>
  <si>
    <t>Total available road</t>
  </si>
  <si>
    <t>As of road</t>
  </si>
  <si>
    <t>As waste road</t>
  </si>
  <si>
    <t>Mass waste road</t>
  </si>
  <si>
    <t>Share Clay road</t>
  </si>
  <si>
    <t>Mass C&amp;D road</t>
  </si>
  <si>
    <t>Sankey landfill road</t>
  </si>
  <si>
    <t>Scenario in road</t>
  </si>
  <si>
    <t>As C&amp;D road</t>
  </si>
  <si>
    <t>SHARE vs road</t>
  </si>
  <si>
    <t>Mt aggregate road</t>
  </si>
  <si>
    <t>Taken recycling road</t>
  </si>
  <si>
    <t>Mass construction road</t>
  </si>
  <si>
    <t>Share for buildings</t>
  </si>
  <si>
    <t>Grand Total</t>
  </si>
  <si>
    <t>Count of Maximum share allowed / recommended2</t>
  </si>
  <si>
    <t>Average of Maximum share allowed / recommended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</si>
</sst>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charset val="1"/>
    </font>
    <font>
      <sz val="10"/>
      <name val="Arial"/>
      <family val="2"/>
    </font>
    <font>
      <b/>
      <sz val="10"/>
      <color rgb="FFFFFFFF"/>
      <name val="Arial"/>
      <family val="2"/>
    </font>
    <font>
      <sz val="10"/>
      <name val="Arial"/>
      <family val="2"/>
    </font>
    <font>
      <u/>
      <sz val="10"/>
      <color rgb="FF0563C1"/>
      <name val="Arial"/>
      <family val="2"/>
    </font>
    <font>
      <i/>
      <sz val="10"/>
      <name val="Arial"/>
      <family val="2"/>
    </font>
    <font>
      <sz val="10"/>
      <color rgb="FF0000FF"/>
      <name val="Arial"/>
      <family val="2"/>
    </font>
    <font>
      <b/>
      <sz val="10"/>
      <name val="Arial"/>
      <family val="2"/>
    </font>
  </fonts>
  <fills count="7">
    <fill>
      <patternFill patternType="none"/>
    </fill>
    <fill>
      <patternFill patternType="gray125"/>
    </fill>
    <fill>
      <patternFill patternType="solid">
        <fgColor rgb="FF1F3864"/>
        <bgColor rgb="FF333333"/>
      </patternFill>
    </fill>
    <fill>
      <patternFill patternType="solid">
        <fgColor rgb="FFE2EFDA"/>
        <bgColor rgb="FFFCE4D6"/>
      </patternFill>
    </fill>
    <fill>
      <patternFill patternType="solid">
        <fgColor rgb="FFFFF2CC"/>
        <bgColor rgb="FFFCE4D6"/>
      </patternFill>
    </fill>
    <fill>
      <patternFill patternType="solid">
        <fgColor rgb="FFFCE4D6"/>
        <bgColor rgb="FFFFF2CC"/>
      </patternFill>
    </fill>
    <fill>
      <patternFill patternType="solid">
        <fgColor rgb="FF00B050"/>
        <bgColor rgb="FF33333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1">
    <xf numFmtId="0" fontId="0" fillId="0" borderId="0" xfId="0"/>
    <xf numFmtId="0" fontId="2" fillId="2" borderId="0" xfId="0" applyFont="1" applyFill="1"/>
    <xf numFmtId="0" fontId="3" fillId="0" borderId="0" xfId="0" applyFont="1" applyAlignment="1">
      <alignment vertical="top" wrapText="1"/>
    </xf>
    <xf numFmtId="0" fontId="2" fillId="2" borderId="0" xfId="0" applyFont="1" applyFill="1" applyAlignment="1">
      <alignment vertical="top" wrapText="1"/>
    </xf>
    <xf numFmtId="0" fontId="3" fillId="0" borderId="1" xfId="0" applyFont="1" applyBorder="1" applyAlignment="1">
      <alignment vertical="top" wrapText="1"/>
    </xf>
    <xf numFmtId="164" fontId="3" fillId="0" borderId="1" xfId="0" applyNumberFormat="1" applyFont="1" applyBorder="1" applyAlignment="1">
      <alignment vertical="top" wrapText="1"/>
    </xf>
    <xf numFmtId="0" fontId="3" fillId="3" borderId="1" xfId="0" applyFont="1" applyFill="1" applyBorder="1" applyAlignment="1">
      <alignment vertical="top" wrapText="1"/>
    </xf>
    <xf numFmtId="0" fontId="3" fillId="4" borderId="1" xfId="0" applyFont="1" applyFill="1" applyBorder="1" applyAlignment="1">
      <alignment vertical="top" wrapText="1"/>
    </xf>
    <xf numFmtId="0" fontId="3" fillId="5" borderId="1" xfId="0" applyFont="1" applyFill="1" applyBorder="1" applyAlignment="1">
      <alignment vertical="top" wrapText="1"/>
    </xf>
    <xf numFmtId="0" fontId="4" fillId="0" borderId="1" xfId="0" applyFont="1" applyBorder="1" applyAlignment="1">
      <alignment vertical="top" wrapText="1"/>
    </xf>
    <xf numFmtId="0" fontId="5" fillId="0" borderId="0" xfId="0" applyFont="1"/>
    <xf numFmtId="0" fontId="0" fillId="0" borderId="0" xfId="0" applyAlignment="1">
      <alignment vertical="top" wrapText="1"/>
    </xf>
    <xf numFmtId="9" fontId="6" fillId="0" borderId="0" xfId="0" applyNumberFormat="1" applyFont="1" applyAlignment="1">
      <alignment vertical="top" wrapText="1"/>
    </xf>
    <xf numFmtId="9" fontId="0" fillId="0" borderId="0" xfId="0" applyNumberFormat="1" applyAlignment="1">
      <alignment vertical="top" wrapText="1"/>
    </xf>
    <xf numFmtId="0" fontId="1" fillId="0" borderId="1" xfId="0" applyFont="1" applyBorder="1" applyAlignment="1">
      <alignment vertical="top" wrapText="1"/>
    </xf>
    <xf numFmtId="0" fontId="1" fillId="0" borderId="0" xfId="0" applyFont="1" applyAlignment="1">
      <alignment vertical="top" wrapText="1"/>
    </xf>
    <xf numFmtId="9" fontId="3" fillId="0" borderId="1" xfId="0" applyNumberFormat="1" applyFont="1" applyBorder="1" applyAlignment="1">
      <alignment vertical="top" wrapText="1"/>
    </xf>
    <xf numFmtId="10" fontId="3" fillId="0" borderId="1" xfId="0" applyNumberFormat="1" applyFont="1" applyBorder="1" applyAlignment="1">
      <alignment vertical="top" wrapText="1"/>
    </xf>
    <xf numFmtId="0" fontId="2" fillId="6" borderId="0" xfId="0" applyFont="1" applyFill="1" applyAlignment="1">
      <alignment vertical="top" wrapText="1"/>
    </xf>
    <xf numFmtId="9" fontId="1" fillId="0" borderId="1" xfId="0" quotePrefix="1" applyNumberFormat="1" applyFont="1" applyBorder="1" applyAlignment="1">
      <alignment vertical="top" wrapText="1"/>
    </xf>
    <xf numFmtId="0" fontId="3" fillId="0" borderId="1" xfId="0" applyFont="1" applyBorder="1" applyAlignment="1">
      <alignment vertical="top"/>
    </xf>
    <xf numFmtId="0" fontId="1" fillId="0" borderId="1" xfId="0" applyFont="1" applyBorder="1" applyAlignment="1">
      <alignment vertical="top"/>
    </xf>
    <xf numFmtId="0" fontId="3" fillId="3" borderId="1" xfId="0" applyFont="1" applyFill="1" applyBorder="1" applyAlignment="1">
      <alignment vertical="top"/>
    </xf>
    <xf numFmtId="10" fontId="3" fillId="0" borderId="1" xfId="0" applyNumberFormat="1" applyFont="1" applyBorder="1" applyAlignment="1">
      <alignment vertical="top"/>
    </xf>
    <xf numFmtId="9" fontId="3" fillId="0" borderId="1" xfId="0" applyNumberFormat="1" applyFont="1" applyBorder="1" applyAlignment="1">
      <alignment vertical="top"/>
    </xf>
    <xf numFmtId="9" fontId="1" fillId="0" borderId="1" xfId="0" applyNumberFormat="1" applyFont="1" applyBorder="1" applyAlignment="1">
      <alignment vertical="top" wrapText="1"/>
    </xf>
    <xf numFmtId="3" fontId="3" fillId="0" borderId="1" xfId="0" applyNumberFormat="1" applyFont="1" applyBorder="1" applyAlignment="1">
      <alignment vertical="top" wrapText="1"/>
    </xf>
    <xf numFmtId="0" fontId="0" fillId="0" borderId="0" xfId="0" pivotButton="1"/>
    <xf numFmtId="0" fontId="0" fillId="0" borderId="0" xfId="0" applyAlignment="1">
      <alignment horizontal="left"/>
    </xf>
    <xf numFmtId="9" fontId="0" fillId="0" borderId="0" xfId="0" applyNumberFormat="1"/>
    <xf numFmtId="0" fontId="0" fillId="0" borderId="0" xfId="0" applyNumberFormat="1"/>
  </cellXfs>
  <cellStyles count="1">
    <cellStyle name="Normal" xfId="0" builtinId="0"/>
  </cellStyles>
  <dxfs count="8">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0</xdr:col>
      <xdr:colOff>309563</xdr:colOff>
      <xdr:row>2</xdr:row>
      <xdr:rowOff>109537</xdr:rowOff>
    </xdr:from>
    <xdr:to>
      <xdr:col>2</xdr:col>
      <xdr:colOff>632723</xdr:colOff>
      <xdr:row>16</xdr:row>
      <xdr:rowOff>100008</xdr:rowOff>
    </xdr:to>
    <mc:AlternateContent xmlns:mc="http://schemas.openxmlformats.org/markup-compatibility/2006" xmlns:a14="http://schemas.microsoft.com/office/drawing/2010/main">
      <mc:Choice Requires="a14">
        <xdr:graphicFrame macro="">
          <xdr:nvGraphicFramePr>
            <xdr:cNvPr id="2" name="Data year">
              <a:extLst>
                <a:ext uri="{FF2B5EF4-FFF2-40B4-BE49-F238E27FC236}">
                  <a16:creationId xmlns:a16="http://schemas.microsoft.com/office/drawing/2014/main" id="{9A42D42E-DE6F-FB02-660F-558D0993EBA8}"/>
                </a:ext>
              </a:extLst>
            </xdr:cNvPr>
            <xdr:cNvGraphicFramePr/>
          </xdr:nvGraphicFramePr>
          <xdr:xfrm>
            <a:off x="0" y="0"/>
            <a:ext cx="0" cy="0"/>
          </xdr:xfrm>
          <a:graphic>
            <a:graphicData uri="http://schemas.microsoft.com/office/drawing/2010/slicer">
              <sle:slicer xmlns:sle="http://schemas.microsoft.com/office/drawing/2010/slicer" name="Data year"/>
            </a:graphicData>
          </a:graphic>
        </xdr:graphicFrame>
      </mc:Choice>
      <mc:Fallback xmlns="">
        <xdr:sp macro="" textlink="">
          <xdr:nvSpPr>
            <xdr:cNvPr id="0" name=""/>
            <xdr:cNvSpPr>
              <a:spLocks noTextEdit="1"/>
            </xdr:cNvSpPr>
          </xdr:nvSpPr>
          <xdr:spPr>
            <a:xfrm>
              <a:off x="309563" y="490537"/>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33337</xdr:colOff>
      <xdr:row>17</xdr:row>
      <xdr:rowOff>166687</xdr:rowOff>
    </xdr:from>
    <xdr:to>
      <xdr:col>3</xdr:col>
      <xdr:colOff>1128024</xdr:colOff>
      <xdr:row>32</xdr:row>
      <xdr:rowOff>61223</xdr:rowOff>
    </xdr:to>
    <mc:AlternateContent xmlns:mc="http://schemas.openxmlformats.org/markup-compatibility/2006" xmlns:a14="http://schemas.microsoft.com/office/drawing/2010/main">
      <mc:Choice Requires="a14">
        <xdr:graphicFrame macro="">
          <xdr:nvGraphicFramePr>
            <xdr:cNvPr id="3" name="Material">
              <a:extLst>
                <a:ext uri="{FF2B5EF4-FFF2-40B4-BE49-F238E27FC236}">
                  <a16:creationId xmlns:a16="http://schemas.microsoft.com/office/drawing/2014/main" id="{7B9ABD86-B2A1-551B-E526-07054478A120}"/>
                </a:ext>
              </a:extLst>
            </xdr:cNvPr>
            <xdr:cNvGraphicFramePr/>
          </xdr:nvGraphicFramePr>
          <xdr:xfrm>
            <a:off x="0" y="0"/>
            <a:ext cx="0" cy="0"/>
          </xdr:xfrm>
          <a:graphic>
            <a:graphicData uri="http://schemas.microsoft.com/office/drawing/2010/slicer">
              <sle:slicer xmlns:sle="http://schemas.microsoft.com/office/drawing/2010/slicer" name="Material"/>
            </a:graphicData>
          </a:graphic>
        </xdr:graphicFrame>
      </mc:Choice>
      <mc:Fallback xmlns="">
        <xdr:sp macro="" textlink="">
          <xdr:nvSpPr>
            <xdr:cNvPr id="0" name=""/>
            <xdr:cNvSpPr>
              <a:spLocks noTextEdit="1"/>
            </xdr:cNvSpPr>
          </xdr:nvSpPr>
          <xdr:spPr>
            <a:xfrm>
              <a:off x="33337" y="3281362"/>
              <a:ext cx="3362326" cy="26050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Pablo Busch" refreshedDate="46318.655374305556" createdVersion="8" refreshedVersion="8" minRefreshableVersion="3" recordCount="103" xr:uid="{26772ACE-7642-4ECF-9F54-58FA3DD17438}">
  <cacheSource type="worksheet">
    <worksheetSource ref="A1:O104" sheet="Data"/>
  </cacheSource>
  <cacheFields count="15">
    <cacheField name="ID" numFmtId="0">
      <sharedItems containsSemiMixedTypes="0" containsString="0" containsNumber="1" containsInteger="1" minValue="1" maxValue="73"/>
    </cacheField>
    <cacheField name="Material" numFmtId="0">
      <sharedItems count="13">
        <s v="Iron/steel"/>
        <s v="Copper"/>
        <s v="Aluminium"/>
        <s v="Concrete"/>
        <s v="Asphalt"/>
        <s v="Concrete; Asphalt"/>
        <s v="Metal ores"/>
        <s v="Non-metallic minerals"/>
        <s v="Concrete; Asphalt; Bricks"/>
        <s v="Bricks"/>
        <s v="Concrete; Bricks; Iron/steel"/>
        <s v="Concrete; Asphalt; Aggregates"/>
        <s v="Aggregates"/>
      </sharedItems>
    </cacheField>
    <cacheField name="Source key" numFmtId="0">
      <sharedItems/>
    </cacheField>
    <cacheField name="Region in source" numFmtId="0">
      <sharedItems/>
    </cacheField>
    <cacheField name="Your region" numFmtId="0">
      <sharedItems count="10">
        <s v="Europe &amp; Russia"/>
        <s v="North America"/>
        <s v="Global"/>
        <s v="Latin America"/>
        <s v="East Asia"/>
        <s v="Sub-Saharan Africa"/>
        <s v="North America; East Asia; South Asia"/>
        <s v="Oceania"/>
        <s v="East Asia; South Asia"/>
        <s v="South Asia"/>
      </sharedItems>
    </cacheField>
    <cacheField name="Data year" numFmtId="0">
      <sharedItems containsMixedTypes="1" containsNumber="1" containsInteger="1" minValue="2010" maxValue="2010" count="34">
        <s v="2015"/>
        <s v="2014"/>
        <s v="2013"/>
        <s v="2004"/>
        <s v="Mostly 2000-2005"/>
        <s v="Not stated in excerpt"/>
        <s v="2015 (BAU)"/>
        <s v="2012 (Table 1 label)"/>
        <s v="Not specified"/>
        <s v="2001 / 2010"/>
        <s v="2012"/>
        <s v="2020"/>
        <s v="2021"/>
        <s v="1996"/>
        <s v="~1997-1998"/>
        <s v="1995 / 2000 / 2005 / 2010 / 2015"/>
        <s v="2010"/>
        <n v="2010"/>
        <s v="1990–1999 / 2000–2009 / 2010–2015 (means)"/>
        <s v="1990–1999 / 2000–2009 / 2010–2015"/>
        <s v="model assumption"/>
        <s v="2017"/>
        <s v="2013 (scenarios)"/>
        <s v="~2014"/>
        <s v="2020–2060 scenario"/>
        <s v="~2011 (Hyder 2011)"/>
        <s v="n.s."/>
        <s v="~2015"/>
        <s v="policy target"/>
        <s v="various (2004–2013)"/>
        <s v="1996 / 2008"/>
        <s v="1996 / 2011"/>
        <s v="~2011–2014"/>
        <s v="not stated (compiled from refs)"/>
      </sharedItems>
    </cacheField>
    <cacheField name="Indicator (as named in source)" numFmtId="0">
      <sharedItems count="59">
        <s v="EOL-RR (incl. exported old scrap)"/>
        <s v="EOL-RR (excl. exported old scrap)"/>
        <s v="EOL-RIR"/>
        <s v="Recycling efficiency (old scrap)"/>
        <s v="Recycling rate"/>
        <s v="Old scrap recovered / old scrap generated"/>
        <s v="Share of old scrap supply exported"/>
        <s v="Overall scrap recycling efficiency (old + new scrap)"/>
        <s v="EOL-RR (functional), bin"/>
        <s v="EoL copper recycling rate"/>
        <s v="EoL concrete: downcycling for (road) foundation"/>
        <s v="EoL concrete: downcycling for site elevation"/>
        <s v="EoL concrete: recycling for new concrete manufacturing"/>
        <s v="Destinations of EoL concrete: recycling / downcycling / landfilling"/>
        <s v="Concrete &amp; other masonry fraction of CDW: road base / site elevation / concrete industry"/>
        <s v="Secondary aggregate share in concrete manufacturing"/>
        <s v="Typical partial replacement of coarse (&gt;4 mm) aggregate by crushed EoL concrete"/>
        <s v="CDW recycling rate (EU WFD definition, includes downcycling)"/>
        <s v="Metals fraction of CDW: metals recycling"/>
        <s v="Application of available reclaimed asphalt: re-used / recycled / unknown or landfill"/>
        <s v="Reclaimed asphalt available to industry"/>
        <s v="Share of debris reused"/>
        <s v="Share of waste concrete recycled"/>
        <s v="Residual (EoL) steel used by secondary industry"/>
        <s v="OSCr, metal ores"/>
        <s v="ISCr, metal ores"/>
        <s v="OSCr, non-metallic minerals"/>
        <s v="Secondary reserve ratio (= EoL recycling rate, recovered/generated EoL scrap)"/>
        <s v="Secondary reserve ratio (EoL recycling rate)"/>
        <s v="EoL recycling rate (EoL RR)"/>
        <s v="EoL collection rate / EoL processing rate"/>
        <s v="RIR / EoL RIR / Overall RER / OSR"/>
        <s v="Technical processing efficiency by scrap type"/>
        <s v="End-of-life steel: recycled / reused"/>
        <s v="Non-metallic minerals EoL waste: reused / recycled"/>
        <s v="Clay bricks reuse"/>
        <s v="Combined reuse + recycling rate of EoL metals (steel, copper, lead, aluminium)"/>
        <s v="Scenario recycling rates (worst = 'relatively close to current situation')"/>
        <s v="C&amp;D waste recycling rate (cited)"/>
        <s v="C&amp;D waste composition"/>
        <s v="EoL concrete fate: buried (base material or landfill) vs recycled"/>
        <s v="Downcycling rate (defined as RCA replacing virgin aggregate in NEW CONCRETE)"/>
        <s v="C&amp;D waste recovery rate"/>
        <s v="C&amp;D waste fate"/>
        <s v="C&amp;D waste recycled (all) / bulk aggregate recycled"/>
        <s v="Use of recycled concrete: backfill/road base vs new concrete"/>
        <s v="C&amp;D recovery rate"/>
        <s v="Minimum recycling target, category A (concrete, mortar)"/>
        <s v="C&amp;D recycling/recovery rates (country statements)"/>
        <s v="Recycling rate, construction waste incl. asphalt-concrete blocks"/>
        <s v="C&amp;D recycling rate"/>
        <s v="C&amp;D recycling"/>
        <s v="C&amp;D waste recovery (%)"/>
        <s v="Recycled vs total aggregate production (UEPG)"/>
        <s v="EoL steel recycled (absolute)"/>
        <s v="EoL copper recycled (absolute)"/>
        <s v="EoL aluminium recycled (absolute)"/>
        <s v="Construction waste recycling rates used"/>
        <s v="Nonmetallic minerals recycled from construction waste (absolute)"/>
      </sharedItems>
    </cacheField>
    <cacheField name="Indicator" numFmtId="0">
      <sharedItems containsBlank="1" count="24">
        <s v="Recycling Rate"/>
        <s v="Share of secondary materials in produciton"/>
        <s v="Recovery rate"/>
        <m/>
        <s v="Share for road"/>
        <s v="Share for buildings"/>
        <s v="Share elevation road"/>
        <s v="Share in road"/>
        <s v="As crushed road"/>
        <s v="Downcycling"/>
        <s v="Re unknown road"/>
        <s v="Total available road"/>
        <s v="As of road"/>
        <s v="As waste road"/>
        <s v="Mass waste road"/>
        <s v="Share Clay road"/>
        <s v="Mass C&amp;D road"/>
        <s v="Sankey landfill road"/>
        <s v="Scenario in road"/>
        <s v="As C&amp;D road"/>
        <s v="SHARE vs road"/>
        <s v="Mt aggregate road"/>
        <s v="Taken recycling road"/>
        <s v="Mass construction road"/>
      </sharedItems>
    </cacheField>
    <cacheField name="Valid" numFmtId="0">
      <sharedItems containsSemiMixedTypes="0" containsString="0" containsNumber="1" containsInteger="1" minValue="0" maxValue="1" count="2">
        <n v="1"/>
        <n v="0"/>
      </sharedItems>
    </cacheField>
    <cacheField name="Definition / formula in source" numFmtId="0">
      <sharedItems containsBlank="1"/>
    </cacheField>
    <cacheField name="Value" numFmtId="0">
      <sharedItems containsMixedTypes="1" containsNumber="1" minValue="0.01" maxValue="51"/>
    </cacheField>
    <cacheField name="Unit" numFmtId="0">
      <sharedItems/>
    </cacheField>
    <cacheField name="Location in source" numFmtId="0">
      <sharedItems/>
    </cacheField>
    <cacheField name="Retrieval" numFmtId="0">
      <sharedItems containsBlank="1"/>
    </cacheField>
    <cacheField name="Notes / flags" numFmtId="0">
      <sharedItems containsBlank="1" longText="1"/>
    </cacheField>
  </cacheFields>
  <extLst>
    <ext xmlns:x14="http://schemas.microsoft.com/office/spreadsheetml/2009/9/main" uri="{725AE2AE-9491-48be-B2B4-4EB974FC3084}">
      <x14:pivotCacheDefinition pivotCacheId="14036233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Pablo Busch" refreshedDate="46318.655374652779" createdVersion="8" refreshedVersion="8" minRefreshableVersion="3" recordCount="29" xr:uid="{5C9B316A-7DF0-48F3-8AC8-536953F8B8F0}">
  <cacheSource type="worksheet">
    <worksheetSource ref="A1:K30" sheet="Max_secondary_content"/>
  </cacheSource>
  <cacheFields count="11">
    <cacheField name="Region / standard" numFmtId="0">
      <sharedItems/>
    </cacheField>
    <cacheField name="Your region" numFmtId="0">
      <sharedItems count="9">
        <s v="Oceania"/>
        <s v="East Asia"/>
        <s v="Europe &amp; Russia"/>
        <s v="Global"/>
        <s v="North America"/>
        <s v="Latin America"/>
        <s v="South Asia"/>
        <s v="—"/>
        <s v="All"/>
      </sharedItems>
    </cacheField>
    <cacheField name="End-use" numFmtId="0">
      <sharedItems/>
    </cacheField>
    <cacheField name="Recycled material" numFmtId="0">
      <sharedItems/>
    </cacheField>
    <cacheField name="Variable" numFmtId="0">
      <sharedItems containsBlank="1" count="3">
        <s v="Max building"/>
        <s v="Max Roads"/>
        <m/>
      </sharedItems>
    </cacheField>
    <cacheField name="Valid" numFmtId="0">
      <sharedItems containsSemiMixedTypes="0" containsString="0" containsNumber="1" containsInteger="1" minValue="0" maxValue="1" count="2">
        <n v="1"/>
        <n v="0"/>
      </sharedItems>
    </cacheField>
    <cacheField name="Maximum share allowed / recommended" numFmtId="0">
      <sharedItems containsMixedTypes="1" containsNumber="1" minValue="0" maxValue="1"/>
    </cacheField>
    <cacheField name="Conditions" numFmtId="0">
      <sharedItems/>
    </cacheField>
    <cacheField name="Source" numFmtId="0">
      <sharedItems/>
    </cacheField>
    <cacheField name="Location" numFmtId="0">
      <sharedItems/>
    </cacheField>
    <cacheField name="Retrieval" numFmtId="0">
      <sharedItems/>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D971FD-66DB-4064-9D8E-FD2C3C0DC32C}" name="PT_Data" cacheId="10" applyNumberFormats="0" applyBorderFormats="0" applyFontFormats="0" applyPatternFormats="0" applyAlignmentFormats="0" applyWidthHeightFormats="1" dataCaption="Values" updatedVersion="8" minRefreshableVersion="3" asteriskTotals="1" showDrill="0" useAutoFormatting="1" rowGrandTotals="0" colGrandTotals="0" itemPrintTitles="1" createdVersion="8" indent="0" compact="0" compactData="0" gridDropZones="1" multipleFieldFilters="0">
  <location ref="E7:H15" firstHeaderRow="1" firstDataRow="3" firstDataCol="2" rowPageCount="2" colPageCount="1"/>
  <pivotFields count="15">
    <pivotField compact="0" outline="0" showAll="0" defaultSubtotal="0"/>
    <pivotField axis="axisPage" compact="0" outline="0" multipleItemSelectionAllowed="1" showAll="0" defaultSubtotal="0">
      <items count="13">
        <item h="1" x="12"/>
        <item h="1" x="6"/>
        <item h="1" x="0"/>
        <item h="1" x="2"/>
        <item h="1" x="4"/>
        <item h="1" x="9"/>
        <item x="1"/>
        <item h="1" x="3"/>
        <item h="1" x="5"/>
        <item h="1" x="11"/>
        <item h="1" x="8"/>
        <item h="1" x="10"/>
        <item h="1" x="7"/>
      </items>
    </pivotField>
    <pivotField compact="0" outline="0" showAll="0" defaultSubtotal="0"/>
    <pivotField compact="0" outline="0" showAll="0" defaultSubtotal="0"/>
    <pivotField axis="axisRow" compact="0" outline="0" showAll="0" defaultSubtotal="0">
      <items count="10">
        <item x="4"/>
        <item x="8"/>
        <item x="0"/>
        <item x="2"/>
        <item x="3"/>
        <item x="1"/>
        <item x="6"/>
        <item x="7"/>
        <item x="9"/>
        <item x="5"/>
      </items>
    </pivotField>
    <pivotField compact="0" outline="0" showAll="0" defaultSubtotal="0">
      <items count="34">
        <item x="17"/>
        <item x="14"/>
        <item x="25"/>
        <item x="32"/>
        <item x="23"/>
        <item x="27"/>
        <item x="19"/>
        <item x="18"/>
        <item x="15"/>
        <item x="13"/>
        <item x="30"/>
        <item x="31"/>
        <item x="9"/>
        <item x="3"/>
        <item x="16"/>
        <item x="10"/>
        <item x="7"/>
        <item x="2"/>
        <item x="22"/>
        <item x="1"/>
        <item x="0"/>
        <item x="6"/>
        <item x="21"/>
        <item x="11"/>
        <item x="24"/>
        <item x="12"/>
        <item x="20"/>
        <item x="4"/>
        <item x="26"/>
        <item x="8"/>
        <item x="33"/>
        <item x="5"/>
        <item x="28"/>
        <item x="29"/>
      </items>
    </pivotField>
    <pivotField axis="axisRow" compact="0" outline="0" showAll="0" defaultSubtotal="0">
      <items count="59">
        <item x="19"/>
        <item x="46"/>
        <item x="51"/>
        <item x="50"/>
        <item x="48"/>
        <item x="39"/>
        <item x="43"/>
        <item x="52"/>
        <item x="42"/>
        <item x="44"/>
        <item x="38"/>
        <item x="17"/>
        <item x="35"/>
        <item x="36"/>
        <item x="14"/>
        <item x="57"/>
        <item x="13"/>
        <item x="41"/>
        <item x="33"/>
        <item x="56"/>
        <item x="30"/>
        <item x="40"/>
        <item x="10"/>
        <item x="11"/>
        <item x="12"/>
        <item x="55"/>
        <item x="9"/>
        <item x="29"/>
        <item x="54"/>
        <item x="2"/>
        <item x="1"/>
        <item x="8"/>
        <item x="0"/>
        <item x="25"/>
        <item x="18"/>
        <item x="47"/>
        <item x="34"/>
        <item x="58"/>
        <item x="5"/>
        <item x="24"/>
        <item x="26"/>
        <item x="7"/>
        <item x="20"/>
        <item x="53"/>
        <item x="3"/>
        <item x="4"/>
        <item x="49"/>
        <item x="23"/>
        <item x="31"/>
        <item x="37"/>
        <item x="15"/>
        <item x="27"/>
        <item x="28"/>
        <item x="21"/>
        <item x="6"/>
        <item x="22"/>
        <item x="32"/>
        <item x="16"/>
        <item x="45"/>
      </items>
    </pivotField>
    <pivotField axis="axisCol" compact="0" outline="0" showAll="0" defaultSubtotal="0">
      <items count="24">
        <item x="9"/>
        <item x="2"/>
        <item x="0"/>
        <item x="1"/>
        <item x="3"/>
        <item x="4"/>
        <item x="5"/>
        <item x="6"/>
        <item x="7"/>
        <item x="8"/>
        <item x="10"/>
        <item x="11"/>
        <item x="12"/>
        <item x="13"/>
        <item x="14"/>
        <item x="15"/>
        <item x="16"/>
        <item x="17"/>
        <item x="18"/>
        <item x="19"/>
        <item x="20"/>
        <item x="21"/>
        <item x="22"/>
        <item x="23"/>
      </items>
    </pivotField>
    <pivotField axis="axisPage" compact="0" outline="0" showAll="0" defaultSubtotal="0">
      <items count="2">
        <item x="1"/>
        <item x="0"/>
      </items>
    </pivotField>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2">
    <field x="4"/>
    <field x="6"/>
  </rowFields>
  <rowItems count="6">
    <i>
      <x/>
      <x v="27"/>
    </i>
    <i>
      <x v="2"/>
      <x v="32"/>
    </i>
    <i>
      <x v="3"/>
      <x v="26"/>
    </i>
    <i r="1">
      <x v="31"/>
    </i>
    <i>
      <x v="5"/>
      <x v="41"/>
    </i>
    <i r="1">
      <x v="44"/>
    </i>
  </rowItems>
  <colFields count="2">
    <field x="7"/>
    <field x="-2"/>
  </colFields>
  <colItems count="2">
    <i>
      <x v="2"/>
      <x/>
    </i>
    <i r="1" i="1">
      <x v="1"/>
    </i>
  </colItems>
  <pageFields count="2">
    <pageField fld="8" item="1" hier="-1"/>
    <pageField fld="1" hier="-1"/>
  </pageFields>
  <dataFields count="2">
    <dataField name="Average of Value" fld="10" subtotal="average" baseField="0" baseItem="0"/>
    <dataField name="Count of Value" fld="10" subtotal="count" baseField="0" baseItem="0"/>
  </dataFields>
  <formats count="2">
    <format dxfId="6">
      <pivotArea outline="0" fieldPosition="0">
        <references count="2">
          <reference field="4294967294" count="1" selected="0">
            <x v="0"/>
          </reference>
          <reference field="7" count="1" selected="0">
            <x v="0"/>
          </reference>
        </references>
      </pivotArea>
    </format>
    <format dxfId="5">
      <pivotArea outline="0" fieldPosition="0">
        <references count="2">
          <reference field="4294967294" count="1" selected="0">
            <x v="0"/>
          </reference>
          <reference field="7"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E9560F-763A-4793-8526-C6A17A1829EB}" name="PT_Max_secondary_content" cacheId="16" applyNumberFormats="0" applyBorderFormats="0" applyFontFormats="0" applyPatternFormats="0" applyAlignmentFormats="0" applyWidthHeightFormats="1" dataCaption="Values" updatedVersion="8" minRefreshableVersion="3" asteriskTotals="1" showDrill="0" useAutoFormatting="1" itemPrintTitles="1" createdVersion="8" indent="0" compact="0" compactData="0" gridDropZones="1" multipleFieldFilters="0">
  <location ref="E7:H21" firstHeaderRow="1" firstDataRow="2" firstDataCol="2" rowPageCount="1" colPageCount="1"/>
  <pivotFields count="11">
    <pivotField compact="0" outline="0" showAll="0" defaultSubtotal="0"/>
    <pivotField axis="axisRow" compact="0" outline="0" showAll="0" defaultSubtotal="0">
      <items count="9">
        <item x="7"/>
        <item x="8"/>
        <item x="1"/>
        <item x="2"/>
        <item x="5"/>
        <item x="4"/>
        <item x="0"/>
        <item x="6"/>
        <item x="3"/>
      </items>
    </pivotField>
    <pivotField compact="0" outline="0" showAll="0" defaultSubtotal="0"/>
    <pivotField compact="0" outline="0" showAll="0" defaultSubtotal="0"/>
    <pivotField axis="axisRow" compact="0" outline="0" showAll="0" defaultSubtotal="0">
      <items count="3">
        <item x="0"/>
        <item x="1"/>
        <item x="2"/>
      </items>
    </pivotField>
    <pivotField axis="axisPage" compact="0" outline="0" showAll="0" defaultSubtotal="0">
      <items count="2">
        <item x="1"/>
        <item x="0"/>
      </items>
    </pivotField>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2">
    <field x="4"/>
    <field x="1"/>
  </rowFields>
  <rowItems count="13">
    <i>
      <x/>
      <x v="2"/>
    </i>
    <i r="1">
      <x v="3"/>
    </i>
    <i r="1">
      <x v="4"/>
    </i>
    <i r="1">
      <x v="5"/>
    </i>
    <i r="1">
      <x v="6"/>
    </i>
    <i r="1">
      <x v="7"/>
    </i>
    <i r="1">
      <x v="8"/>
    </i>
    <i>
      <x v="1"/>
      <x v="2"/>
    </i>
    <i r="1">
      <x v="3"/>
    </i>
    <i r="1">
      <x v="5"/>
    </i>
    <i r="1">
      <x v="6"/>
    </i>
    <i r="1">
      <x v="8"/>
    </i>
    <i t="grand">
      <x/>
    </i>
  </rowItems>
  <colFields count="1">
    <field x="-2"/>
  </colFields>
  <colItems count="2">
    <i>
      <x/>
    </i>
    <i i="1">
      <x v="1"/>
    </i>
  </colItems>
  <pageFields count="1">
    <pageField fld="5" item="1" hier="-1"/>
  </pageFields>
  <dataFields count="2">
    <dataField name="Average of Maximum share allowed / recommended" fld="6" subtotal="average" baseField="0" baseItem="0"/>
    <dataField name="Count of Maximum share allowed / recommended2" fld="6" subtotal="count" baseField="0" baseItem="0"/>
  </dataFields>
  <formats count="1">
    <format dxfId="7">
      <pivotArea outline="0" fieldPosition="0">
        <references count="2">
          <reference field="4294967294" count="1" selected="0">
            <x v="0"/>
          </reference>
          <reference field="4" count="2" selected="0">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a_year" xr10:uid="{8B3F7F52-2F74-4CBD-8EB3-ABCB40D85381}" sourceName="Data year">
  <pivotTables>
    <pivotTable tabId="7" name="PT_Data"/>
  </pivotTables>
  <data>
    <tabular pivotCacheId="140362333">
      <items count="34">
        <i x="18" s="1"/>
        <i x="3" s="1"/>
        <i x="1" s="1"/>
        <i x="4" s="1"/>
        <i x="5" s="1"/>
        <i x="17" s="1" nd="1"/>
        <i x="14" s="1" nd="1"/>
        <i x="25" s="1" nd="1"/>
        <i x="32" s="1" nd="1"/>
        <i x="23" s="1" nd="1"/>
        <i x="27" s="1" nd="1"/>
        <i x="19" s="1" nd="1"/>
        <i x="15" s="1" nd="1"/>
        <i x="13" s="1" nd="1"/>
        <i x="30" s="1" nd="1"/>
        <i x="31" s="1" nd="1"/>
        <i x="9" s="1" nd="1"/>
        <i x="16" s="1" nd="1"/>
        <i x="10" s="1" nd="1"/>
        <i x="7" s="1" nd="1"/>
        <i x="2" s="1" nd="1"/>
        <i x="22" s="1" nd="1"/>
        <i x="0" s="1" nd="1"/>
        <i x="6" s="1" nd="1"/>
        <i x="21" s="1" nd="1"/>
        <i x="11" s="1" nd="1"/>
        <i x="24" s="1" nd="1"/>
        <i x="12" s="1" nd="1"/>
        <i x="20" s="1" nd="1"/>
        <i x="26" s="1" nd="1"/>
        <i x="8" s="1" nd="1"/>
        <i x="33" s="1" nd="1"/>
        <i x="28" s="1" nd="1"/>
        <i x="2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 xr10:uid="{70526612-8D3F-49C4-AE89-7FA0B0204FFC}" sourceName="Material">
  <pivotTables>
    <pivotTable tabId="7" name="PT_Data"/>
  </pivotTables>
  <data>
    <tabular pivotCacheId="140362333">
      <items count="13">
        <i x="2"/>
        <i x="3"/>
        <i x="5"/>
        <i x="11"/>
        <i x="8"/>
        <i x="1" s="1"/>
        <i x="0"/>
        <i x="6"/>
        <i x="7"/>
        <i x="12" nd="1"/>
        <i x="4" nd="1"/>
        <i x="9" nd="1"/>
        <i x="1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a year" xr10:uid="{0BCEA32E-D164-4740-8C38-E45E86E1EEEC}" cache="Slicer_Data_year" caption="Data year" rowHeight="241300"/>
  <slicer name="Material" xr10:uid="{A3222FD9-AD76-4619-AAC0-4257349811B5}" cache="Slicer_Material" caption="Material" columnCount="2" rowHeight="241300"/>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hyperlink" Target="https://doi.org/10.1016/j.resconrec.2008.11.010" TargetMode="External"/><Relationship Id="rId13" Type="http://schemas.openxmlformats.org/officeDocument/2006/relationships/hyperlink" Target="https://doi.org/10.1016/j.resconrec.2006.01.003" TargetMode="External"/><Relationship Id="rId18" Type="http://schemas.openxmlformats.org/officeDocument/2006/relationships/hyperlink" Target="https://doi.org/10.30845/ijast" TargetMode="External"/><Relationship Id="rId26" Type="http://schemas.openxmlformats.org/officeDocument/2006/relationships/hyperlink" Target="https://eapa.org/asphalt-in-figures/" TargetMode="External"/><Relationship Id="rId3" Type="http://schemas.openxmlformats.org/officeDocument/2006/relationships/hyperlink" Target="https://rmis.jrc.ec.europa.eu/uploads/MFA_Report_June2018_FINAL.pdf" TargetMode="External"/><Relationship Id="rId21" Type="http://schemas.openxmlformats.org/officeDocument/2006/relationships/hyperlink" Target="https://doi.org/10.1016/j.conbuildmat.2018.03.240" TargetMode="External"/><Relationship Id="rId7" Type="http://schemas.openxmlformats.org/officeDocument/2006/relationships/hyperlink" Target="https://doi.org/10.1016/j.resconrec.2017.06.016" TargetMode="External"/><Relationship Id="rId12" Type="http://schemas.openxmlformats.org/officeDocument/2006/relationships/hyperlink" Target="https://doi.org/10.1016/j.resconrec.2021.105462" TargetMode="External"/><Relationship Id="rId17" Type="http://schemas.openxmlformats.org/officeDocument/2006/relationships/hyperlink" Target="https://doi.org/10.1007/s12649-016-9661-7" TargetMode="External"/><Relationship Id="rId25" Type="http://schemas.openxmlformats.org/officeDocument/2006/relationships/hyperlink" Target="https://doi.org/10.1016/j.conbuildmat.2017.01.055" TargetMode="External"/><Relationship Id="rId2" Type="http://schemas.openxmlformats.org/officeDocument/2006/relationships/hyperlink" Target="https://doi.org/10.2307/142065" TargetMode="External"/><Relationship Id="rId16" Type="http://schemas.openxmlformats.org/officeDocument/2006/relationships/hyperlink" Target="https://doi.org/10.1016/j.jclepro.2018.03.085" TargetMode="External"/><Relationship Id="rId20" Type="http://schemas.openxmlformats.org/officeDocument/2006/relationships/hyperlink" Target="https://doi.org/10.1016/j.proeng.2015.08.528" TargetMode="External"/><Relationship Id="rId29" Type="http://schemas.openxmlformats.org/officeDocument/2006/relationships/hyperlink" Target="https://doi.org/10.1021/acs.est.2c08703" TargetMode="External"/><Relationship Id="rId1" Type="http://schemas.openxmlformats.org/officeDocument/2006/relationships/hyperlink" Target="https://doi.org/10.1111/jiec.13575" TargetMode="External"/><Relationship Id="rId6" Type="http://schemas.openxmlformats.org/officeDocument/2006/relationships/hyperlink" Target="https://doi.org/10.1111/j.1530-9290.2011.00342.x" TargetMode="External"/><Relationship Id="rId11" Type="http://schemas.openxmlformats.org/officeDocument/2006/relationships/hyperlink" Target="https://doi.org/10.1016/j.apenergy.2022.119871" TargetMode="External"/><Relationship Id="rId24" Type="http://schemas.openxmlformats.org/officeDocument/2006/relationships/hyperlink" Target="https://doi.org/10.1016/j.jclepro.2020.121718" TargetMode="External"/><Relationship Id="rId5" Type="http://schemas.openxmlformats.org/officeDocument/2006/relationships/hyperlink" Target="https://doi.org/10.1016/j.resconrec.2020.105070" TargetMode="External"/><Relationship Id="rId15" Type="http://schemas.openxmlformats.org/officeDocument/2006/relationships/hyperlink" Target="https://doi.org/10.1016/j.resconrec.2020.105107" TargetMode="External"/><Relationship Id="rId23" Type="http://schemas.openxmlformats.org/officeDocument/2006/relationships/hyperlink" Target="https://doi.org/10.1016/j.resconrec.2023.107144" TargetMode="External"/><Relationship Id="rId28" Type="http://schemas.openxmlformats.org/officeDocument/2006/relationships/hyperlink" Target="https://doi.org/10.1016/j.resconrec.2018.04.016" TargetMode="External"/><Relationship Id="rId10" Type="http://schemas.openxmlformats.org/officeDocument/2006/relationships/hyperlink" Target="https://doi.org/10.1016/j.jclepro.2020.121460" TargetMode="External"/><Relationship Id="rId19" Type="http://schemas.openxmlformats.org/officeDocument/2006/relationships/hyperlink" Target="https://doi.org/10.1016/j.resconrec.2023.107290" TargetMode="External"/><Relationship Id="rId4" Type="http://schemas.openxmlformats.org/officeDocument/2006/relationships/hyperlink" Target="https://doi.org/10.1088/1755-1315/503/1/012024" TargetMode="External"/><Relationship Id="rId9" Type="http://schemas.openxmlformats.org/officeDocument/2006/relationships/hyperlink" Target="https://pubs.usgs.gov/circ/circ1196x/pdf/circ1196X.pdf" TargetMode="External"/><Relationship Id="rId14" Type="http://schemas.openxmlformats.org/officeDocument/2006/relationships/hyperlink" Target="https://doi.org/10.1016/j.jclepro.2018.04.243" TargetMode="External"/><Relationship Id="rId22" Type="http://schemas.openxmlformats.org/officeDocument/2006/relationships/hyperlink" Target="https://pubs.usgs.gov/circ/1998/c1176/c1176.pdf" TargetMode="External"/><Relationship Id="rId27" Type="http://schemas.openxmlformats.org/officeDocument/2006/relationships/hyperlink" Target="https://doi.org/10.1016/j.resconrec.2016.12.014" TargetMode="External"/><Relationship Id="rId30" Type="http://schemas.openxmlformats.org/officeDocument/2006/relationships/hyperlink" Target="https://doi.org/10.1016/j.gloenvcha.2021.102410" TargetMode="Externa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zoomScale="130" zoomScaleNormal="130" workbookViewId="0">
      <selection activeCell="B7" sqref="B7"/>
    </sheetView>
  </sheetViews>
  <sheetFormatPr defaultColWidth="8.6640625" defaultRowHeight="14.25" x14ac:dyDescent="0.45"/>
  <cols>
    <col min="1" max="1" width="24" customWidth="1"/>
    <col min="2" max="2" width="120" customWidth="1"/>
  </cols>
  <sheetData>
    <row r="1" spans="1:2" x14ac:dyDescent="0.45">
      <c r="A1" s="1" t="s">
        <v>0</v>
      </c>
      <c r="B1" s="1" t="s">
        <v>1</v>
      </c>
    </row>
    <row r="2" spans="1:2" ht="25.5" x14ac:dyDescent="0.45">
      <c r="A2" s="2" t="s">
        <v>2</v>
      </c>
      <c r="B2" s="2" t="s">
        <v>3</v>
      </c>
    </row>
    <row r="3" spans="1:2" ht="51" x14ac:dyDescent="0.45">
      <c r="A3" s="2" t="s">
        <v>4</v>
      </c>
      <c r="B3" s="2" t="s">
        <v>5</v>
      </c>
    </row>
    <row r="4" spans="1:2" ht="25.5" x14ac:dyDescent="0.45">
      <c r="A4" s="2" t="s">
        <v>6</v>
      </c>
      <c r="B4" s="2" t="s">
        <v>7</v>
      </c>
    </row>
    <row r="5" spans="1:2" ht="38.25" x14ac:dyDescent="0.45">
      <c r="A5" s="2" t="s">
        <v>8</v>
      </c>
      <c r="B5" s="2" t="s">
        <v>9</v>
      </c>
    </row>
    <row r="6" spans="1:2" ht="25.5" x14ac:dyDescent="0.45">
      <c r="A6" s="2" t="s">
        <v>10</v>
      </c>
      <c r="B6" s="2" t="s">
        <v>11</v>
      </c>
    </row>
    <row r="7" spans="1:2" ht="25.9" x14ac:dyDescent="0.45">
      <c r="A7" s="2" t="s">
        <v>12</v>
      </c>
      <c r="B7" s="15" t="s">
        <v>700</v>
      </c>
    </row>
    <row r="8" spans="1:2" ht="25.5" x14ac:dyDescent="0.45">
      <c r="A8" s="2" t="s">
        <v>13</v>
      </c>
      <c r="B8" s="2" t="s">
        <v>14</v>
      </c>
    </row>
    <row r="9" spans="1:2" ht="25.5" x14ac:dyDescent="0.45">
      <c r="A9" s="2" t="s">
        <v>15</v>
      </c>
      <c r="B9" s="2" t="s">
        <v>16</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9ADB4-F65F-4667-AE35-EB274FE87CCF}">
  <dimension ref="E1:H15"/>
  <sheetViews>
    <sheetView tabSelected="1" workbookViewId="0">
      <selection activeCell="I15" sqref="I15"/>
    </sheetView>
  </sheetViews>
  <sheetFormatPr defaultRowHeight="14.25" x14ac:dyDescent="0.45"/>
  <cols>
    <col min="1" max="3" width="10.59765625" customWidth="1"/>
    <col min="4" max="4" width="22.46484375" customWidth="1"/>
    <col min="5" max="5" width="46.73046875" customWidth="1"/>
    <col min="6" max="6" width="40.6640625" bestFit="1" customWidth="1"/>
    <col min="7" max="8" width="14.6640625" bestFit="1" customWidth="1"/>
    <col min="9" max="12" width="16.06640625" bestFit="1" customWidth="1"/>
  </cols>
  <sheetData>
    <row r="1" spans="5:8" ht="15" customHeight="1" x14ac:dyDescent="0.45"/>
    <row r="2" spans="5:8" ht="15" customHeight="1" x14ac:dyDescent="0.45"/>
    <row r="3" spans="5:8" ht="15" customHeight="1" x14ac:dyDescent="0.45"/>
    <row r="4" spans="5:8" ht="15" customHeight="1" x14ac:dyDescent="0.45">
      <c r="E4" s="27" t="s">
        <v>699</v>
      </c>
      <c r="F4" s="28">
        <v>1</v>
      </c>
    </row>
    <row r="5" spans="5:8" x14ac:dyDescent="0.45">
      <c r="E5" s="27" t="s">
        <v>18</v>
      </c>
      <c r="F5" t="s">
        <v>48</v>
      </c>
    </row>
    <row r="7" spans="5:8" x14ac:dyDescent="0.45">
      <c r="G7" s="27" t="s">
        <v>680</v>
      </c>
      <c r="H7" s="27" t="s">
        <v>739</v>
      </c>
    </row>
    <row r="8" spans="5:8" x14ac:dyDescent="0.45">
      <c r="G8" t="s">
        <v>698</v>
      </c>
    </row>
    <row r="9" spans="5:8" x14ac:dyDescent="0.45">
      <c r="E9" s="27" t="s">
        <v>21</v>
      </c>
      <c r="F9" s="27" t="s">
        <v>23</v>
      </c>
      <c r="G9" t="s">
        <v>738</v>
      </c>
      <c r="H9" t="s">
        <v>740</v>
      </c>
    </row>
    <row r="10" spans="5:8" x14ac:dyDescent="0.45">
      <c r="E10" t="s">
        <v>175</v>
      </c>
      <c r="F10" t="s">
        <v>207</v>
      </c>
      <c r="G10" s="29">
        <v>0.52</v>
      </c>
      <c r="H10" s="30">
        <v>1</v>
      </c>
    </row>
    <row r="11" spans="5:8" x14ac:dyDescent="0.45">
      <c r="E11" t="s">
        <v>33</v>
      </c>
      <c r="F11" t="s">
        <v>35</v>
      </c>
      <c r="G11" s="29">
        <v>0.61</v>
      </c>
      <c r="H11" s="30">
        <v>1</v>
      </c>
    </row>
    <row r="12" spans="5:8" x14ac:dyDescent="0.45">
      <c r="E12" t="s">
        <v>81</v>
      </c>
      <c r="F12" t="s">
        <v>87</v>
      </c>
      <c r="G12" s="29">
        <v>0.45</v>
      </c>
      <c r="H12" s="30">
        <v>1</v>
      </c>
    </row>
    <row r="13" spans="5:8" x14ac:dyDescent="0.45">
      <c r="F13" t="s">
        <v>83</v>
      </c>
      <c r="G13" s="29">
        <v>0.48</v>
      </c>
      <c r="H13" s="30">
        <v>2</v>
      </c>
    </row>
    <row r="14" spans="5:8" x14ac:dyDescent="0.45">
      <c r="E14" t="s">
        <v>60</v>
      </c>
      <c r="F14" t="s">
        <v>77</v>
      </c>
      <c r="G14" s="29">
        <v>0.57999999999999996</v>
      </c>
      <c r="H14" s="30">
        <v>1</v>
      </c>
    </row>
    <row r="15" spans="5:8" x14ac:dyDescent="0.45">
      <c r="F15" t="s">
        <v>62</v>
      </c>
      <c r="G15" s="29">
        <v>0.43099999999999999</v>
      </c>
      <c r="H15" s="30">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04"/>
  <sheetViews>
    <sheetView zoomScale="115" zoomScaleNormal="115" workbookViewId="0">
      <pane xSplit="2" ySplit="1" topLeftCell="D66" activePane="bottomRight" state="frozen"/>
      <selection pane="topRight" activeCell="C1" sqref="C1"/>
      <selection pane="bottomLeft" activeCell="A2" sqref="A2"/>
      <selection pane="bottomRight" activeCell="I61" sqref="I61"/>
    </sheetView>
  </sheetViews>
  <sheetFormatPr defaultColWidth="8.6640625" defaultRowHeight="14.25" x14ac:dyDescent="0.45"/>
  <cols>
    <col min="1" max="1" width="5" customWidth="1"/>
    <col min="2" max="2" width="12" customWidth="1"/>
    <col min="3" max="4" width="20" customWidth="1"/>
    <col min="5" max="5" width="16" customWidth="1"/>
    <col min="6" max="6" width="12" customWidth="1"/>
    <col min="7" max="7" width="34" customWidth="1"/>
    <col min="8" max="8" width="17.59765625" customWidth="1"/>
    <col min="9" max="9" width="3.06640625" customWidth="1"/>
    <col min="10" max="10" width="36" customWidth="1"/>
    <col min="11" max="11" width="16" customWidth="1"/>
    <col min="12" max="12" width="7" customWidth="1"/>
    <col min="13" max="13" width="32" customWidth="1"/>
    <col min="14" max="14" width="18" customWidth="1"/>
    <col min="15" max="15" width="46" customWidth="1"/>
  </cols>
  <sheetData>
    <row r="1" spans="1:15" ht="26.25" x14ac:dyDescent="0.45">
      <c r="A1" s="3" t="s">
        <v>17</v>
      </c>
      <c r="B1" s="3" t="s">
        <v>18</v>
      </c>
      <c r="C1" s="3" t="s">
        <v>19</v>
      </c>
      <c r="D1" s="3" t="s">
        <v>20</v>
      </c>
      <c r="E1" s="3" t="s">
        <v>21</v>
      </c>
      <c r="F1" s="3" t="s">
        <v>22</v>
      </c>
      <c r="G1" s="3" t="s">
        <v>23</v>
      </c>
      <c r="H1" s="18" t="s">
        <v>680</v>
      </c>
      <c r="I1" s="18" t="s">
        <v>699</v>
      </c>
      <c r="J1" s="3" t="s">
        <v>24</v>
      </c>
      <c r="K1" s="3" t="s">
        <v>25</v>
      </c>
      <c r="L1" s="3" t="s">
        <v>26</v>
      </c>
      <c r="M1" s="3" t="s">
        <v>27</v>
      </c>
      <c r="N1" s="3" t="s">
        <v>28</v>
      </c>
      <c r="O1" s="3" t="s">
        <v>29</v>
      </c>
    </row>
    <row r="2" spans="1:15" ht="25.5" x14ac:dyDescent="0.45">
      <c r="A2" s="4">
        <v>1</v>
      </c>
      <c r="B2" s="4" t="s">
        <v>30</v>
      </c>
      <c r="C2" s="4" t="s">
        <v>31</v>
      </c>
      <c r="D2" s="4" t="s">
        <v>32</v>
      </c>
      <c r="E2" s="4" t="s">
        <v>33</v>
      </c>
      <c r="F2" s="4" t="s">
        <v>34</v>
      </c>
      <c r="G2" s="4" t="s">
        <v>35</v>
      </c>
      <c r="H2" s="14" t="s">
        <v>698</v>
      </c>
      <c r="I2" s="14">
        <v>1</v>
      </c>
      <c r="J2" s="4" t="s">
        <v>36</v>
      </c>
      <c r="K2" s="5">
        <v>0.75</v>
      </c>
      <c r="L2" s="4" t="s">
        <v>37</v>
      </c>
      <c r="M2" s="4" t="s">
        <v>38</v>
      </c>
      <c r="N2" s="6" t="s">
        <v>39</v>
      </c>
      <c r="O2" s="4" t="s">
        <v>40</v>
      </c>
    </row>
    <row r="3" spans="1:15" x14ac:dyDescent="0.45">
      <c r="A3" s="4">
        <v>2</v>
      </c>
      <c r="B3" s="4" t="s">
        <v>30</v>
      </c>
      <c r="C3" s="4" t="s">
        <v>31</v>
      </c>
      <c r="D3" s="4" t="s">
        <v>32</v>
      </c>
      <c r="E3" s="4" t="s">
        <v>33</v>
      </c>
      <c r="F3" s="4" t="s">
        <v>34</v>
      </c>
      <c r="G3" s="4" t="s">
        <v>41</v>
      </c>
      <c r="H3" s="14" t="s">
        <v>698</v>
      </c>
      <c r="I3" s="14">
        <v>0</v>
      </c>
      <c r="J3" s="4" t="s">
        <v>42</v>
      </c>
      <c r="K3" s="5">
        <v>0.62</v>
      </c>
      <c r="L3" s="4" t="s">
        <v>37</v>
      </c>
      <c r="M3" s="4" t="s">
        <v>43</v>
      </c>
      <c r="N3" s="6" t="s">
        <v>39</v>
      </c>
      <c r="O3" s="4" t="s">
        <v>44</v>
      </c>
    </row>
    <row r="4" spans="1:15" ht="38.25" x14ac:dyDescent="0.45">
      <c r="A4" s="4">
        <v>3</v>
      </c>
      <c r="B4" s="4" t="s">
        <v>30</v>
      </c>
      <c r="C4" s="4" t="s">
        <v>31</v>
      </c>
      <c r="D4" s="4" t="s">
        <v>32</v>
      </c>
      <c r="E4" s="4" t="s">
        <v>33</v>
      </c>
      <c r="F4" s="4" t="s">
        <v>34</v>
      </c>
      <c r="G4" s="4" t="s">
        <v>45</v>
      </c>
      <c r="H4" s="14" t="s">
        <v>701</v>
      </c>
      <c r="I4" s="14">
        <v>0</v>
      </c>
      <c r="J4" s="4" t="s">
        <v>46</v>
      </c>
      <c r="K4" s="5">
        <v>0.31</v>
      </c>
      <c r="L4" s="4" t="s">
        <v>37</v>
      </c>
      <c r="M4" s="4" t="s">
        <v>43</v>
      </c>
      <c r="N4" s="6" t="s">
        <v>39</v>
      </c>
      <c r="O4" s="4" t="s">
        <v>47</v>
      </c>
    </row>
    <row r="5" spans="1:15" x14ac:dyDescent="0.45">
      <c r="A5" s="4">
        <v>4</v>
      </c>
      <c r="B5" s="4" t="s">
        <v>48</v>
      </c>
      <c r="C5" s="4" t="s">
        <v>31</v>
      </c>
      <c r="D5" s="4" t="s">
        <v>32</v>
      </c>
      <c r="E5" s="4" t="s">
        <v>33</v>
      </c>
      <c r="F5" s="4" t="s">
        <v>49</v>
      </c>
      <c r="G5" s="4" t="s">
        <v>35</v>
      </c>
      <c r="H5" s="14" t="s">
        <v>698</v>
      </c>
      <c r="I5" s="4">
        <v>1</v>
      </c>
      <c r="J5" s="4" t="s">
        <v>36</v>
      </c>
      <c r="K5" s="5">
        <v>0.61</v>
      </c>
      <c r="L5" s="4" t="s">
        <v>37</v>
      </c>
      <c r="M5" s="4" t="s">
        <v>50</v>
      </c>
      <c r="N5" s="6" t="s">
        <v>39</v>
      </c>
      <c r="O5" s="4" t="s">
        <v>51</v>
      </c>
    </row>
    <row r="6" spans="1:15" x14ac:dyDescent="0.45">
      <c r="A6" s="4">
        <v>5</v>
      </c>
      <c r="B6" s="4" t="s">
        <v>48</v>
      </c>
      <c r="C6" s="4" t="s">
        <v>31</v>
      </c>
      <c r="D6" s="4" t="s">
        <v>32</v>
      </c>
      <c r="E6" s="4" t="s">
        <v>33</v>
      </c>
      <c r="F6" s="4" t="s">
        <v>49</v>
      </c>
      <c r="G6" s="4" t="s">
        <v>41</v>
      </c>
      <c r="H6" s="14" t="s">
        <v>698</v>
      </c>
      <c r="I6" s="4">
        <v>0</v>
      </c>
      <c r="J6" s="4" t="s">
        <v>42</v>
      </c>
      <c r="K6" s="5">
        <v>0.28000000000000003</v>
      </c>
      <c r="L6" s="4" t="s">
        <v>37</v>
      </c>
      <c r="M6" s="4" t="s">
        <v>52</v>
      </c>
      <c r="N6" s="6" t="s">
        <v>39</v>
      </c>
      <c r="O6" s="4"/>
    </row>
    <row r="7" spans="1:15" ht="38.25" x14ac:dyDescent="0.45">
      <c r="A7" s="4">
        <v>6</v>
      </c>
      <c r="B7" s="4" t="s">
        <v>48</v>
      </c>
      <c r="C7" s="4" t="s">
        <v>31</v>
      </c>
      <c r="D7" s="4" t="s">
        <v>32</v>
      </c>
      <c r="E7" s="4" t="s">
        <v>33</v>
      </c>
      <c r="F7" s="4" t="s">
        <v>49</v>
      </c>
      <c r="G7" s="4" t="s">
        <v>45</v>
      </c>
      <c r="H7" s="14" t="s">
        <v>701</v>
      </c>
      <c r="I7" s="4">
        <v>0</v>
      </c>
      <c r="J7" s="4" t="s">
        <v>46</v>
      </c>
      <c r="K7" s="5">
        <v>0.17</v>
      </c>
      <c r="L7" s="4" t="s">
        <v>37</v>
      </c>
      <c r="M7" s="4" t="s">
        <v>52</v>
      </c>
      <c r="N7" s="6" t="s">
        <v>39</v>
      </c>
      <c r="O7" s="4"/>
    </row>
    <row r="8" spans="1:15" ht="25.5" x14ac:dyDescent="0.45">
      <c r="A8" s="4">
        <v>7</v>
      </c>
      <c r="B8" s="4" t="s">
        <v>53</v>
      </c>
      <c r="C8" s="4" t="s">
        <v>31</v>
      </c>
      <c r="D8" s="4" t="s">
        <v>32</v>
      </c>
      <c r="E8" s="4" t="s">
        <v>33</v>
      </c>
      <c r="F8" s="4" t="s">
        <v>54</v>
      </c>
      <c r="G8" s="4" t="s">
        <v>35</v>
      </c>
      <c r="H8" s="14" t="s">
        <v>698</v>
      </c>
      <c r="I8" s="4">
        <v>1</v>
      </c>
      <c r="J8" s="4" t="s">
        <v>36</v>
      </c>
      <c r="K8" s="5">
        <v>0.69</v>
      </c>
      <c r="L8" s="4" t="s">
        <v>37</v>
      </c>
      <c r="M8" s="4" t="s">
        <v>55</v>
      </c>
      <c r="N8" s="6" t="s">
        <v>39</v>
      </c>
      <c r="O8" s="4" t="s">
        <v>56</v>
      </c>
    </row>
    <row r="9" spans="1:15" x14ac:dyDescent="0.45">
      <c r="A9" s="4">
        <v>8</v>
      </c>
      <c r="B9" s="4" t="s">
        <v>53</v>
      </c>
      <c r="C9" s="4" t="s">
        <v>31</v>
      </c>
      <c r="D9" s="4" t="s">
        <v>32</v>
      </c>
      <c r="E9" s="4" t="s">
        <v>33</v>
      </c>
      <c r="F9" s="4" t="s">
        <v>54</v>
      </c>
      <c r="G9" s="4" t="s">
        <v>41</v>
      </c>
      <c r="H9" s="14" t="s">
        <v>698</v>
      </c>
      <c r="I9" s="4">
        <v>0</v>
      </c>
      <c r="J9" s="4" t="s">
        <v>42</v>
      </c>
      <c r="K9" s="5">
        <v>0.51</v>
      </c>
      <c r="L9" s="4" t="s">
        <v>37</v>
      </c>
      <c r="M9" s="4" t="s">
        <v>55</v>
      </c>
      <c r="N9" s="6" t="s">
        <v>39</v>
      </c>
      <c r="O9" s="4" t="s">
        <v>57</v>
      </c>
    </row>
    <row r="10" spans="1:15" ht="38.25" x14ac:dyDescent="0.45">
      <c r="A10" s="4">
        <v>9</v>
      </c>
      <c r="B10" s="4" t="s">
        <v>53</v>
      </c>
      <c r="C10" s="4" t="s">
        <v>31</v>
      </c>
      <c r="D10" s="4" t="s">
        <v>32</v>
      </c>
      <c r="E10" s="4" t="s">
        <v>33</v>
      </c>
      <c r="F10" s="4" t="s">
        <v>54</v>
      </c>
      <c r="G10" s="4" t="s">
        <v>45</v>
      </c>
      <c r="H10" s="14" t="s">
        <v>701</v>
      </c>
      <c r="I10" s="4">
        <v>0</v>
      </c>
      <c r="J10" s="4" t="s">
        <v>46</v>
      </c>
      <c r="K10" s="5">
        <v>0.12</v>
      </c>
      <c r="L10" s="4" t="s">
        <v>37</v>
      </c>
      <c r="M10" s="4" t="s">
        <v>55</v>
      </c>
      <c r="N10" s="6" t="s">
        <v>39</v>
      </c>
      <c r="O10" s="4" t="s">
        <v>57</v>
      </c>
    </row>
    <row r="11" spans="1:15" ht="38.25" x14ac:dyDescent="0.45">
      <c r="A11" s="4">
        <v>10</v>
      </c>
      <c r="B11" s="4" t="s">
        <v>48</v>
      </c>
      <c r="C11" s="4" t="s">
        <v>58</v>
      </c>
      <c r="D11" s="4" t="s">
        <v>59</v>
      </c>
      <c r="E11" s="4" t="s">
        <v>60</v>
      </c>
      <c r="F11" s="4" t="s">
        <v>61</v>
      </c>
      <c r="G11" s="4" t="s">
        <v>62</v>
      </c>
      <c r="H11" s="14" t="s">
        <v>698</v>
      </c>
      <c r="I11" s="4">
        <v>1</v>
      </c>
      <c r="J11" s="4" t="s">
        <v>63</v>
      </c>
      <c r="K11" s="5">
        <v>0.43099999999999999</v>
      </c>
      <c r="L11" s="4" t="s">
        <v>37</v>
      </c>
      <c r="M11" s="4" t="s">
        <v>64</v>
      </c>
      <c r="N11" s="6" t="s">
        <v>39</v>
      </c>
      <c r="O11" s="4" t="s">
        <v>65</v>
      </c>
    </row>
    <row r="12" spans="1:15" ht="38.25" x14ac:dyDescent="0.45">
      <c r="A12" s="4">
        <v>11</v>
      </c>
      <c r="B12" s="4" t="s">
        <v>48</v>
      </c>
      <c r="C12" s="4" t="s">
        <v>58</v>
      </c>
      <c r="D12" s="4" t="s">
        <v>59</v>
      </c>
      <c r="E12" s="4" t="s">
        <v>60</v>
      </c>
      <c r="F12" s="4" t="s">
        <v>61</v>
      </c>
      <c r="G12" s="4" t="s">
        <v>66</v>
      </c>
      <c r="H12" s="14" t="s">
        <v>701</v>
      </c>
      <c r="I12" s="4">
        <v>0</v>
      </c>
      <c r="J12" s="4" t="s">
        <v>67</v>
      </c>
      <c r="K12" s="5">
        <v>0.29899999999999999</v>
      </c>
      <c r="L12" s="4" t="s">
        <v>37</v>
      </c>
      <c r="M12" s="4" t="s">
        <v>68</v>
      </c>
      <c r="N12" s="6" t="s">
        <v>39</v>
      </c>
      <c r="O12" s="4" t="s">
        <v>69</v>
      </c>
    </row>
    <row r="13" spans="1:15" ht="25.5" x14ac:dyDescent="0.45">
      <c r="A13" s="4">
        <v>12</v>
      </c>
      <c r="B13" s="4" t="s">
        <v>48</v>
      </c>
      <c r="C13" s="4" t="s">
        <v>58</v>
      </c>
      <c r="D13" s="4" t="s">
        <v>59</v>
      </c>
      <c r="E13" s="4" t="s">
        <v>60</v>
      </c>
      <c r="F13" s="4" t="s">
        <v>61</v>
      </c>
      <c r="G13" s="4" t="s">
        <v>70</v>
      </c>
      <c r="H13" s="14" t="s">
        <v>702</v>
      </c>
      <c r="I13" s="4">
        <v>0</v>
      </c>
      <c r="J13" s="4" t="s">
        <v>71</v>
      </c>
      <c r="K13" s="5">
        <v>0.40208333333333302</v>
      </c>
      <c r="L13" s="4" t="s">
        <v>37</v>
      </c>
      <c r="M13" s="4" t="s">
        <v>72</v>
      </c>
      <c r="N13" s="6" t="s">
        <v>39</v>
      </c>
      <c r="O13" s="4"/>
    </row>
    <row r="14" spans="1:15" x14ac:dyDescent="0.45">
      <c r="A14" s="4">
        <v>13</v>
      </c>
      <c r="B14" s="4" t="s">
        <v>48</v>
      </c>
      <c r="C14" s="4" t="s">
        <v>58</v>
      </c>
      <c r="D14" s="4" t="s">
        <v>59</v>
      </c>
      <c r="E14" s="4" t="s">
        <v>60</v>
      </c>
      <c r="F14" s="4" t="s">
        <v>61</v>
      </c>
      <c r="G14" s="4" t="s">
        <v>73</v>
      </c>
      <c r="H14" s="4"/>
      <c r="I14" s="4">
        <v>0</v>
      </c>
      <c r="J14" s="4" t="s">
        <v>74</v>
      </c>
      <c r="K14" s="5">
        <v>0.74</v>
      </c>
      <c r="L14" s="4" t="s">
        <v>37</v>
      </c>
      <c r="M14" s="4" t="s">
        <v>75</v>
      </c>
      <c r="N14" s="6" t="s">
        <v>39</v>
      </c>
      <c r="O14" s="4" t="s">
        <v>76</v>
      </c>
    </row>
    <row r="15" spans="1:15" ht="25.5" x14ac:dyDescent="0.45">
      <c r="A15" s="4">
        <v>14</v>
      </c>
      <c r="B15" s="4" t="s">
        <v>48</v>
      </c>
      <c r="C15" s="4" t="s">
        <v>58</v>
      </c>
      <c r="D15" s="4" t="s">
        <v>59</v>
      </c>
      <c r="E15" s="4" t="s">
        <v>60</v>
      </c>
      <c r="F15" s="4" t="s">
        <v>61</v>
      </c>
      <c r="G15" s="4" t="s">
        <v>77</v>
      </c>
      <c r="H15" s="14" t="s">
        <v>698</v>
      </c>
      <c r="I15" s="4">
        <v>1</v>
      </c>
      <c r="J15" s="4" t="s">
        <v>78</v>
      </c>
      <c r="K15" s="5">
        <v>0.57999999999999996</v>
      </c>
      <c r="L15" s="4" t="s">
        <v>37</v>
      </c>
      <c r="M15" s="4" t="s">
        <v>79</v>
      </c>
      <c r="N15" s="6" t="s">
        <v>39</v>
      </c>
      <c r="O15" s="4"/>
    </row>
    <row r="16" spans="1:15" ht="25.5" x14ac:dyDescent="0.45">
      <c r="A16" s="4">
        <v>15</v>
      </c>
      <c r="B16" s="4" t="s">
        <v>53</v>
      </c>
      <c r="C16" s="4" t="s">
        <v>80</v>
      </c>
      <c r="D16" s="4" t="s">
        <v>81</v>
      </c>
      <c r="E16" s="4" t="s">
        <v>81</v>
      </c>
      <c r="F16" s="4" t="s">
        <v>82</v>
      </c>
      <c r="G16" s="4" t="s">
        <v>83</v>
      </c>
      <c r="H16" s="14" t="s">
        <v>698</v>
      </c>
      <c r="I16" s="4">
        <v>1</v>
      </c>
      <c r="J16" s="4"/>
      <c r="K16" s="16">
        <v>0.42</v>
      </c>
      <c r="L16" s="4" t="s">
        <v>37</v>
      </c>
      <c r="M16" s="14" t="s">
        <v>704</v>
      </c>
      <c r="N16" s="6" t="s">
        <v>84</v>
      </c>
      <c r="O16" s="4"/>
    </row>
    <row r="17" spans="1:15" ht="25.5" x14ac:dyDescent="0.45">
      <c r="A17" s="4">
        <v>15</v>
      </c>
      <c r="B17" s="4" t="s">
        <v>53</v>
      </c>
      <c r="C17" s="4" t="s">
        <v>80</v>
      </c>
      <c r="D17" s="4" t="s">
        <v>81</v>
      </c>
      <c r="E17" s="4" t="s">
        <v>81</v>
      </c>
      <c r="F17" s="4" t="s">
        <v>82</v>
      </c>
      <c r="G17" s="4" t="s">
        <v>83</v>
      </c>
      <c r="H17" s="14" t="s">
        <v>698</v>
      </c>
      <c r="I17" s="4">
        <v>1</v>
      </c>
      <c r="J17" s="4"/>
      <c r="K17" s="16">
        <v>0.6</v>
      </c>
      <c r="L17" s="4" t="s">
        <v>37</v>
      </c>
      <c r="M17" s="14" t="s">
        <v>704</v>
      </c>
      <c r="N17" s="6" t="s">
        <v>84</v>
      </c>
      <c r="O17" s="4"/>
    </row>
    <row r="18" spans="1:15" ht="25.5" x14ac:dyDescent="0.45">
      <c r="A18" s="4">
        <v>15</v>
      </c>
      <c r="B18" s="4" t="s">
        <v>53</v>
      </c>
      <c r="C18" s="4" t="s">
        <v>80</v>
      </c>
      <c r="D18" s="4" t="s">
        <v>81</v>
      </c>
      <c r="E18" s="4" t="s">
        <v>81</v>
      </c>
      <c r="F18" s="4" t="s">
        <v>82</v>
      </c>
      <c r="G18" s="4" t="s">
        <v>83</v>
      </c>
      <c r="H18" s="14" t="s">
        <v>698</v>
      </c>
      <c r="I18" s="4">
        <v>1</v>
      </c>
      <c r="J18" s="4"/>
      <c r="K18" s="16">
        <v>0.7</v>
      </c>
      <c r="L18" s="4" t="s">
        <v>37</v>
      </c>
      <c r="M18" s="14" t="s">
        <v>704</v>
      </c>
      <c r="N18" s="6" t="s">
        <v>84</v>
      </c>
      <c r="O18" s="4"/>
    </row>
    <row r="19" spans="1:15" ht="25.5" x14ac:dyDescent="0.45">
      <c r="A19" s="4">
        <v>16</v>
      </c>
      <c r="B19" s="4" t="s">
        <v>48</v>
      </c>
      <c r="C19" s="4" t="s">
        <v>80</v>
      </c>
      <c r="D19" s="4" t="s">
        <v>81</v>
      </c>
      <c r="E19" s="4" t="s">
        <v>81</v>
      </c>
      <c r="F19" s="4" t="s">
        <v>82</v>
      </c>
      <c r="G19" s="4" t="s">
        <v>83</v>
      </c>
      <c r="H19" s="14" t="s">
        <v>698</v>
      </c>
      <c r="I19" s="4">
        <v>1</v>
      </c>
      <c r="J19" s="4"/>
      <c r="K19" s="16">
        <v>0.43</v>
      </c>
      <c r="L19" s="4" t="s">
        <v>37</v>
      </c>
      <c r="M19" s="14" t="s">
        <v>705</v>
      </c>
      <c r="N19" s="6" t="s">
        <v>84</v>
      </c>
      <c r="O19" s="4"/>
    </row>
    <row r="20" spans="1:15" ht="25.5" x14ac:dyDescent="0.45">
      <c r="A20" s="4">
        <v>16</v>
      </c>
      <c r="B20" s="4" t="s">
        <v>48</v>
      </c>
      <c r="C20" s="4" t="s">
        <v>80</v>
      </c>
      <c r="D20" s="4" t="s">
        <v>81</v>
      </c>
      <c r="E20" s="4" t="s">
        <v>81</v>
      </c>
      <c r="F20" s="4" t="s">
        <v>82</v>
      </c>
      <c r="G20" s="4" t="s">
        <v>83</v>
      </c>
      <c r="H20" s="14" t="s">
        <v>698</v>
      </c>
      <c r="I20" s="4">
        <v>1</v>
      </c>
      <c r="J20" s="4"/>
      <c r="K20" s="16">
        <v>0.53</v>
      </c>
      <c r="L20" s="4" t="s">
        <v>37</v>
      </c>
      <c r="M20" s="14" t="s">
        <v>705</v>
      </c>
      <c r="N20" s="6" t="s">
        <v>84</v>
      </c>
      <c r="O20" s="4"/>
    </row>
    <row r="21" spans="1:15" ht="25.5" x14ac:dyDescent="0.45">
      <c r="A21" s="4">
        <v>17</v>
      </c>
      <c r="B21" s="4" t="s">
        <v>30</v>
      </c>
      <c r="C21" s="4" t="s">
        <v>80</v>
      </c>
      <c r="D21" s="4" t="s">
        <v>81</v>
      </c>
      <c r="E21" s="4" t="s">
        <v>81</v>
      </c>
      <c r="F21" s="4" t="s">
        <v>82</v>
      </c>
      <c r="G21" s="4" t="s">
        <v>83</v>
      </c>
      <c r="H21" s="14" t="s">
        <v>698</v>
      </c>
      <c r="I21" s="4">
        <v>1</v>
      </c>
      <c r="J21" s="4"/>
      <c r="K21" s="16">
        <v>0.52</v>
      </c>
      <c r="L21" s="4" t="s">
        <v>37</v>
      </c>
      <c r="M21" s="14" t="s">
        <v>703</v>
      </c>
      <c r="N21" s="6" t="s">
        <v>84</v>
      </c>
      <c r="O21" s="4"/>
    </row>
    <row r="22" spans="1:15" ht="25.5" x14ac:dyDescent="0.45">
      <c r="A22" s="4">
        <v>17</v>
      </c>
      <c r="B22" s="4" t="s">
        <v>30</v>
      </c>
      <c r="C22" s="4" t="s">
        <v>80</v>
      </c>
      <c r="D22" s="4" t="s">
        <v>81</v>
      </c>
      <c r="E22" s="4" t="s">
        <v>81</v>
      </c>
      <c r="F22" s="4" t="s">
        <v>82</v>
      </c>
      <c r="G22" s="4" t="s">
        <v>83</v>
      </c>
      <c r="H22" s="14" t="s">
        <v>698</v>
      </c>
      <c r="I22" s="4">
        <v>1</v>
      </c>
      <c r="J22" s="4"/>
      <c r="K22" s="16">
        <v>0.67</v>
      </c>
      <c r="L22" s="4" t="s">
        <v>37</v>
      </c>
      <c r="M22" s="14" t="s">
        <v>703</v>
      </c>
      <c r="N22" s="6" t="s">
        <v>84</v>
      </c>
      <c r="O22" s="4"/>
    </row>
    <row r="23" spans="1:15" ht="25.5" x14ac:dyDescent="0.45">
      <c r="A23" s="4">
        <v>17</v>
      </c>
      <c r="B23" s="4" t="s">
        <v>30</v>
      </c>
      <c r="C23" s="4" t="s">
        <v>80</v>
      </c>
      <c r="D23" s="4" t="s">
        <v>81</v>
      </c>
      <c r="E23" s="4" t="s">
        <v>81</v>
      </c>
      <c r="F23" s="4" t="s">
        <v>82</v>
      </c>
      <c r="G23" s="4" t="s">
        <v>83</v>
      </c>
      <c r="H23" s="14" t="s">
        <v>698</v>
      </c>
      <c r="I23" s="4">
        <v>1</v>
      </c>
      <c r="J23" s="4"/>
      <c r="K23" s="16">
        <v>0.78</v>
      </c>
      <c r="L23" s="4" t="s">
        <v>37</v>
      </c>
      <c r="M23" s="14" t="s">
        <v>703</v>
      </c>
      <c r="N23" s="6" t="s">
        <v>84</v>
      </c>
      <c r="O23" s="4"/>
    </row>
    <row r="24" spans="1:15" ht="25.5" x14ac:dyDescent="0.45">
      <c r="A24" s="4">
        <v>17</v>
      </c>
      <c r="B24" s="4" t="s">
        <v>30</v>
      </c>
      <c r="C24" s="4" t="s">
        <v>80</v>
      </c>
      <c r="D24" s="4" t="s">
        <v>81</v>
      </c>
      <c r="E24" s="4" t="s">
        <v>81</v>
      </c>
      <c r="F24" s="4" t="s">
        <v>82</v>
      </c>
      <c r="G24" s="4" t="s">
        <v>83</v>
      </c>
      <c r="H24" s="14" t="s">
        <v>698</v>
      </c>
      <c r="I24" s="4">
        <v>1</v>
      </c>
      <c r="J24" s="4"/>
      <c r="K24" s="16">
        <v>0.9</v>
      </c>
      <c r="L24" s="4" t="s">
        <v>37</v>
      </c>
      <c r="M24" s="14" t="s">
        <v>703</v>
      </c>
      <c r="N24" s="6" t="s">
        <v>84</v>
      </c>
      <c r="O24" s="4"/>
    </row>
    <row r="25" spans="1:15" ht="25.5" x14ac:dyDescent="0.45">
      <c r="A25" s="4">
        <v>18</v>
      </c>
      <c r="B25" s="4" t="s">
        <v>48</v>
      </c>
      <c r="C25" s="4" t="s">
        <v>85</v>
      </c>
      <c r="D25" s="4" t="s">
        <v>60</v>
      </c>
      <c r="E25" s="4" t="s">
        <v>60</v>
      </c>
      <c r="F25" s="4" t="s">
        <v>86</v>
      </c>
      <c r="G25" s="4" t="s">
        <v>87</v>
      </c>
      <c r="H25" s="14" t="s">
        <v>698</v>
      </c>
      <c r="I25" s="4">
        <v>0</v>
      </c>
      <c r="J25" s="14" t="s">
        <v>708</v>
      </c>
      <c r="K25" s="5">
        <v>0.42</v>
      </c>
      <c r="L25" s="4" t="s">
        <v>37</v>
      </c>
      <c r="M25" s="4" t="s">
        <v>88</v>
      </c>
      <c r="N25" s="7" t="s">
        <v>89</v>
      </c>
      <c r="O25" s="4" t="s">
        <v>90</v>
      </c>
    </row>
    <row r="26" spans="1:15" ht="25.5" x14ac:dyDescent="0.45">
      <c r="A26" s="4">
        <v>19</v>
      </c>
      <c r="B26" s="4" t="s">
        <v>48</v>
      </c>
      <c r="C26" s="4" t="s">
        <v>85</v>
      </c>
      <c r="D26" s="4" t="s">
        <v>81</v>
      </c>
      <c r="E26" s="4" t="s">
        <v>81</v>
      </c>
      <c r="F26" s="4" t="s">
        <v>86</v>
      </c>
      <c r="G26" s="4" t="s">
        <v>87</v>
      </c>
      <c r="H26" s="14" t="s">
        <v>698</v>
      </c>
      <c r="I26" s="4">
        <v>1</v>
      </c>
      <c r="J26" s="14" t="s">
        <v>707</v>
      </c>
      <c r="K26" s="5">
        <v>0.45</v>
      </c>
      <c r="L26" s="4" t="s">
        <v>37</v>
      </c>
      <c r="M26" s="14" t="s">
        <v>706</v>
      </c>
      <c r="N26" s="7" t="s">
        <v>89</v>
      </c>
      <c r="O26" s="4" t="s">
        <v>91</v>
      </c>
    </row>
    <row r="27" spans="1:15" ht="38.25" x14ac:dyDescent="0.45">
      <c r="A27" s="4">
        <v>20</v>
      </c>
      <c r="B27" s="4" t="s">
        <v>92</v>
      </c>
      <c r="C27" s="4" t="s">
        <v>93</v>
      </c>
      <c r="D27" s="4" t="s">
        <v>94</v>
      </c>
      <c r="E27" s="4" t="s">
        <v>33</v>
      </c>
      <c r="F27" s="4" t="s">
        <v>34</v>
      </c>
      <c r="G27" s="4" t="s">
        <v>95</v>
      </c>
      <c r="H27" s="14" t="s">
        <v>741</v>
      </c>
      <c r="I27" s="4">
        <v>1</v>
      </c>
      <c r="J27" s="4" t="s">
        <v>96</v>
      </c>
      <c r="K27" s="5">
        <v>0.76100000000000001</v>
      </c>
      <c r="L27" s="4" t="s">
        <v>37</v>
      </c>
      <c r="M27" s="4" t="s">
        <v>97</v>
      </c>
      <c r="N27" s="6" t="s">
        <v>98</v>
      </c>
      <c r="O27" s="4" t="s">
        <v>99</v>
      </c>
    </row>
    <row r="28" spans="1:15" ht="38.25" x14ac:dyDescent="0.45">
      <c r="A28" s="4">
        <v>21</v>
      </c>
      <c r="B28" s="4" t="s">
        <v>92</v>
      </c>
      <c r="C28" s="4" t="s">
        <v>93</v>
      </c>
      <c r="D28" s="4" t="s">
        <v>94</v>
      </c>
      <c r="E28" s="4" t="s">
        <v>33</v>
      </c>
      <c r="F28" s="4" t="s">
        <v>34</v>
      </c>
      <c r="G28" s="14" t="s">
        <v>100</v>
      </c>
      <c r="H28" s="14"/>
      <c r="I28" s="4">
        <v>0</v>
      </c>
      <c r="J28" s="4" t="s">
        <v>96</v>
      </c>
      <c r="K28" s="5">
        <v>0.186</v>
      </c>
      <c r="L28" s="4" t="s">
        <v>37</v>
      </c>
      <c r="M28" s="4" t="s">
        <v>97</v>
      </c>
      <c r="N28" s="6" t="s">
        <v>98</v>
      </c>
      <c r="O28" s="4" t="s">
        <v>101</v>
      </c>
    </row>
    <row r="29" spans="1:15" ht="38.25" x14ac:dyDescent="0.45">
      <c r="A29" s="4">
        <v>22</v>
      </c>
      <c r="B29" s="4" t="s">
        <v>92</v>
      </c>
      <c r="C29" s="4" t="s">
        <v>93</v>
      </c>
      <c r="D29" s="4" t="s">
        <v>94</v>
      </c>
      <c r="E29" s="4" t="s">
        <v>33</v>
      </c>
      <c r="F29" s="4" t="s">
        <v>34</v>
      </c>
      <c r="G29" s="4" t="s">
        <v>102</v>
      </c>
      <c r="H29" s="14" t="s">
        <v>759</v>
      </c>
      <c r="I29" s="4">
        <v>1</v>
      </c>
      <c r="J29" s="4" t="s">
        <v>96</v>
      </c>
      <c r="K29" s="5">
        <v>5.2999999999999999E-2</v>
      </c>
      <c r="L29" s="4" t="s">
        <v>37</v>
      </c>
      <c r="M29" s="4" t="s">
        <v>97</v>
      </c>
      <c r="N29" s="6" t="s">
        <v>98</v>
      </c>
      <c r="O29" s="4" t="s">
        <v>103</v>
      </c>
    </row>
    <row r="30" spans="1:15" ht="38.25" x14ac:dyDescent="0.45">
      <c r="A30" s="4">
        <v>23</v>
      </c>
      <c r="B30" s="4" t="s">
        <v>92</v>
      </c>
      <c r="C30" s="4" t="s">
        <v>93</v>
      </c>
      <c r="D30" s="4" t="s">
        <v>94</v>
      </c>
      <c r="E30" s="4" t="s">
        <v>33</v>
      </c>
      <c r="F30" s="4" t="s">
        <v>104</v>
      </c>
      <c r="G30" s="4" t="s">
        <v>105</v>
      </c>
      <c r="H30" s="14" t="s">
        <v>759</v>
      </c>
      <c r="I30" s="4">
        <v>1</v>
      </c>
      <c r="J30" s="4" t="s">
        <v>106</v>
      </c>
      <c r="K30" s="17">
        <v>5.0999999999999997E-2</v>
      </c>
      <c r="L30" s="4" t="s">
        <v>37</v>
      </c>
      <c r="M30" s="4" t="s">
        <v>107</v>
      </c>
      <c r="N30" s="6" t="s">
        <v>98</v>
      </c>
      <c r="O30" s="4" t="s">
        <v>108</v>
      </c>
    </row>
    <row r="31" spans="1:15" ht="38.25" x14ac:dyDescent="0.45">
      <c r="A31" s="4">
        <v>23</v>
      </c>
      <c r="B31" s="4" t="s">
        <v>92</v>
      </c>
      <c r="C31" s="4" t="s">
        <v>93</v>
      </c>
      <c r="D31" s="4" t="s">
        <v>94</v>
      </c>
      <c r="E31" s="4" t="s">
        <v>33</v>
      </c>
      <c r="F31" s="4" t="s">
        <v>104</v>
      </c>
      <c r="G31" s="4" t="s">
        <v>105</v>
      </c>
      <c r="H31" s="14" t="s">
        <v>741</v>
      </c>
      <c r="I31" s="4">
        <v>1</v>
      </c>
      <c r="J31" s="4" t="s">
        <v>106</v>
      </c>
      <c r="K31" s="17">
        <v>0.94699999999999995</v>
      </c>
      <c r="L31" s="4" t="s">
        <v>37</v>
      </c>
      <c r="M31" s="4" t="s">
        <v>107</v>
      </c>
      <c r="N31" s="6" t="s">
        <v>98</v>
      </c>
      <c r="O31" s="4" t="s">
        <v>108</v>
      </c>
    </row>
    <row r="32" spans="1:15" ht="38.25" x14ac:dyDescent="0.45">
      <c r="A32" s="4">
        <v>24</v>
      </c>
      <c r="B32" s="4" t="s">
        <v>92</v>
      </c>
      <c r="C32" s="4" t="s">
        <v>93</v>
      </c>
      <c r="D32" s="4" t="s">
        <v>94</v>
      </c>
      <c r="E32" s="4" t="s">
        <v>33</v>
      </c>
      <c r="F32" s="4" t="s">
        <v>109</v>
      </c>
      <c r="G32" s="4" t="s">
        <v>110</v>
      </c>
      <c r="H32" s="14" t="s">
        <v>742</v>
      </c>
      <c r="I32" s="4">
        <v>0</v>
      </c>
      <c r="J32" s="4" t="s">
        <v>111</v>
      </c>
      <c r="K32" s="4" t="s">
        <v>112</v>
      </c>
      <c r="L32" s="4" t="s">
        <v>37</v>
      </c>
      <c r="M32" s="4" t="s">
        <v>113</v>
      </c>
      <c r="N32" s="6" t="s">
        <v>98</v>
      </c>
      <c r="O32" s="4" t="s">
        <v>114</v>
      </c>
    </row>
    <row r="33" spans="1:15" ht="38.25" x14ac:dyDescent="0.45">
      <c r="A33" s="4">
        <v>25</v>
      </c>
      <c r="B33" s="4" t="s">
        <v>92</v>
      </c>
      <c r="C33" s="4" t="s">
        <v>93</v>
      </c>
      <c r="D33" s="4" t="s">
        <v>94</v>
      </c>
      <c r="E33" s="4" t="s">
        <v>33</v>
      </c>
      <c r="F33" s="4" t="s">
        <v>104</v>
      </c>
      <c r="G33" s="4" t="s">
        <v>115</v>
      </c>
      <c r="H33" s="14" t="s">
        <v>743</v>
      </c>
      <c r="I33" s="4">
        <v>0</v>
      </c>
      <c r="J33" s="4" t="s">
        <v>116</v>
      </c>
      <c r="K33" s="5">
        <v>0.01</v>
      </c>
      <c r="L33" s="4" t="s">
        <v>37</v>
      </c>
      <c r="M33" s="4" t="s">
        <v>117</v>
      </c>
      <c r="N33" s="6" t="s">
        <v>98</v>
      </c>
      <c r="O33" s="4" t="s">
        <v>118</v>
      </c>
    </row>
    <row r="34" spans="1:15" ht="38.25" x14ac:dyDescent="0.45">
      <c r="A34" s="4">
        <v>26</v>
      </c>
      <c r="B34" s="4" t="s">
        <v>92</v>
      </c>
      <c r="C34" s="4" t="s">
        <v>93</v>
      </c>
      <c r="D34" s="4" t="s">
        <v>119</v>
      </c>
      <c r="E34" s="4" t="s">
        <v>33</v>
      </c>
      <c r="F34" s="4" t="s">
        <v>120</v>
      </c>
      <c r="G34" s="4" t="s">
        <v>121</v>
      </c>
      <c r="H34" s="14" t="s">
        <v>744</v>
      </c>
      <c r="I34" s="4">
        <v>0</v>
      </c>
      <c r="J34" s="4" t="s">
        <v>122</v>
      </c>
      <c r="K34" s="4" t="s">
        <v>123</v>
      </c>
      <c r="L34" s="4" t="s">
        <v>37</v>
      </c>
      <c r="M34" s="4" t="s">
        <v>124</v>
      </c>
      <c r="N34" s="6" t="s">
        <v>98</v>
      </c>
      <c r="O34" s="4" t="s">
        <v>125</v>
      </c>
    </row>
    <row r="35" spans="1:15" ht="38.25" x14ac:dyDescent="0.45">
      <c r="A35" s="4">
        <v>27</v>
      </c>
      <c r="B35" s="4" t="s">
        <v>92</v>
      </c>
      <c r="C35" s="4" t="s">
        <v>93</v>
      </c>
      <c r="D35" s="4" t="s">
        <v>94</v>
      </c>
      <c r="E35" s="4" t="s">
        <v>33</v>
      </c>
      <c r="F35" s="4" t="s">
        <v>126</v>
      </c>
      <c r="G35" s="4" t="s">
        <v>127</v>
      </c>
      <c r="H35" s="14" t="s">
        <v>709</v>
      </c>
      <c r="I35" s="4">
        <v>1</v>
      </c>
      <c r="J35" s="4" t="s">
        <v>128</v>
      </c>
      <c r="K35" s="16">
        <v>0.95</v>
      </c>
      <c r="L35" s="4" t="s">
        <v>37</v>
      </c>
      <c r="M35" s="4" t="s">
        <v>129</v>
      </c>
      <c r="N35" s="6" t="s">
        <v>98</v>
      </c>
      <c r="O35" s="4" t="s">
        <v>130</v>
      </c>
    </row>
    <row r="36" spans="1:15" ht="38.25" x14ac:dyDescent="0.45">
      <c r="A36" s="4">
        <v>28</v>
      </c>
      <c r="B36" s="4" t="s">
        <v>30</v>
      </c>
      <c r="C36" s="4" t="s">
        <v>93</v>
      </c>
      <c r="D36" s="4" t="s">
        <v>94</v>
      </c>
      <c r="E36" s="4" t="s">
        <v>33</v>
      </c>
      <c r="F36" s="4" t="s">
        <v>131</v>
      </c>
      <c r="G36" s="4" t="s">
        <v>132</v>
      </c>
      <c r="H36" s="4"/>
      <c r="I36" s="4">
        <v>0</v>
      </c>
      <c r="J36" s="4" t="s">
        <v>111</v>
      </c>
      <c r="K36" s="5">
        <v>0.96</v>
      </c>
      <c r="L36" s="4" t="s">
        <v>37</v>
      </c>
      <c r="M36" s="4" t="s">
        <v>133</v>
      </c>
      <c r="N36" s="6" t="s">
        <v>98</v>
      </c>
      <c r="O36" s="4" t="s">
        <v>134</v>
      </c>
    </row>
    <row r="37" spans="1:15" ht="38.25" x14ac:dyDescent="0.45">
      <c r="A37" s="4">
        <v>29</v>
      </c>
      <c r="B37" s="4" t="s">
        <v>135</v>
      </c>
      <c r="C37" s="4" t="s">
        <v>136</v>
      </c>
      <c r="D37" s="4" t="s">
        <v>137</v>
      </c>
      <c r="E37" s="4" t="s">
        <v>33</v>
      </c>
      <c r="F37" s="4" t="s">
        <v>138</v>
      </c>
      <c r="G37" s="4" t="s">
        <v>139</v>
      </c>
      <c r="H37" s="14" t="s">
        <v>745</v>
      </c>
      <c r="I37" s="4">
        <v>0</v>
      </c>
      <c r="J37" s="4" t="s">
        <v>140</v>
      </c>
      <c r="K37" s="4" t="s">
        <v>141</v>
      </c>
      <c r="L37" s="4" t="s">
        <v>37</v>
      </c>
      <c r="M37" s="4" t="s">
        <v>142</v>
      </c>
      <c r="N37" s="7" t="s">
        <v>89</v>
      </c>
      <c r="O37" s="4" t="s">
        <v>143</v>
      </c>
    </row>
    <row r="38" spans="1:15" ht="38.25" x14ac:dyDescent="0.45">
      <c r="A38" s="4">
        <v>30</v>
      </c>
      <c r="B38" s="4" t="s">
        <v>135</v>
      </c>
      <c r="C38" s="4" t="s">
        <v>136</v>
      </c>
      <c r="D38" s="4" t="s">
        <v>144</v>
      </c>
      <c r="E38" s="4" t="s">
        <v>33</v>
      </c>
      <c r="F38" s="4" t="s">
        <v>145</v>
      </c>
      <c r="G38" s="4" t="s">
        <v>146</v>
      </c>
      <c r="H38" s="14" t="s">
        <v>746</v>
      </c>
      <c r="I38" s="4">
        <v>0</v>
      </c>
      <c r="J38" s="4" t="s">
        <v>147</v>
      </c>
      <c r="K38" s="4">
        <v>41.3</v>
      </c>
      <c r="L38" s="4" t="s">
        <v>148</v>
      </c>
      <c r="M38" s="4" t="s">
        <v>149</v>
      </c>
      <c r="N38" s="7" t="s">
        <v>89</v>
      </c>
      <c r="O38" s="4" t="s">
        <v>150</v>
      </c>
    </row>
    <row r="39" spans="1:15" ht="51" x14ac:dyDescent="0.45">
      <c r="A39" s="4">
        <v>31</v>
      </c>
      <c r="B39" s="4" t="s">
        <v>151</v>
      </c>
      <c r="C39" s="4" t="s">
        <v>152</v>
      </c>
      <c r="D39" s="4" t="s">
        <v>153</v>
      </c>
      <c r="E39" s="4" t="s">
        <v>60</v>
      </c>
      <c r="F39" s="4" t="s">
        <v>154</v>
      </c>
      <c r="G39" s="4" t="s">
        <v>155</v>
      </c>
      <c r="H39" s="14" t="s">
        <v>747</v>
      </c>
      <c r="I39" s="4">
        <v>0</v>
      </c>
      <c r="J39" s="4" t="s">
        <v>156</v>
      </c>
      <c r="K39" s="4" t="s">
        <v>157</v>
      </c>
      <c r="L39" s="4" t="s">
        <v>37</v>
      </c>
      <c r="M39" s="4" t="s">
        <v>158</v>
      </c>
      <c r="N39" s="8" t="s">
        <v>159</v>
      </c>
      <c r="O39" s="4" t="s">
        <v>160</v>
      </c>
    </row>
    <row r="40" spans="1:15" ht="38.25" x14ac:dyDescent="0.45">
      <c r="A40" s="4">
        <v>32</v>
      </c>
      <c r="B40" s="4" t="s">
        <v>92</v>
      </c>
      <c r="C40" s="4" t="s">
        <v>152</v>
      </c>
      <c r="D40" s="4" t="s">
        <v>59</v>
      </c>
      <c r="E40" s="4" t="s">
        <v>60</v>
      </c>
      <c r="F40" s="4" t="s">
        <v>161</v>
      </c>
      <c r="G40" s="4" t="s">
        <v>162</v>
      </c>
      <c r="H40" s="14" t="s">
        <v>748</v>
      </c>
      <c r="I40" s="4">
        <v>0</v>
      </c>
      <c r="J40" s="4" t="s">
        <v>156</v>
      </c>
      <c r="K40" s="4" t="s">
        <v>163</v>
      </c>
      <c r="L40" s="4" t="s">
        <v>37</v>
      </c>
      <c r="M40" s="4" t="s">
        <v>158</v>
      </c>
      <c r="N40" s="8" t="s">
        <v>159</v>
      </c>
      <c r="O40" s="4" t="s">
        <v>164</v>
      </c>
    </row>
    <row r="41" spans="1:15" ht="25.5" x14ac:dyDescent="0.45">
      <c r="A41" s="4">
        <v>34</v>
      </c>
      <c r="B41" s="4" t="s">
        <v>30</v>
      </c>
      <c r="C41" s="4" t="s">
        <v>165</v>
      </c>
      <c r="D41" s="4" t="s">
        <v>166</v>
      </c>
      <c r="E41" s="4" t="s">
        <v>167</v>
      </c>
      <c r="F41" s="4" t="s">
        <v>34</v>
      </c>
      <c r="G41" s="4" t="s">
        <v>168</v>
      </c>
      <c r="H41" s="14" t="s">
        <v>698</v>
      </c>
      <c r="I41" s="4">
        <v>1</v>
      </c>
      <c r="J41" s="4" t="s">
        <v>169</v>
      </c>
      <c r="K41" s="5">
        <v>0.44</v>
      </c>
      <c r="L41" s="4" t="s">
        <v>37</v>
      </c>
      <c r="M41" s="4" t="s">
        <v>170</v>
      </c>
      <c r="N41" s="6" t="s">
        <v>171</v>
      </c>
      <c r="O41" s="4" t="s">
        <v>172</v>
      </c>
    </row>
    <row r="42" spans="1:15" ht="38.25" x14ac:dyDescent="0.45">
      <c r="A42" s="4">
        <v>35</v>
      </c>
      <c r="B42" s="14" t="s">
        <v>710</v>
      </c>
      <c r="C42" s="4" t="s">
        <v>173</v>
      </c>
      <c r="D42" s="4" t="s">
        <v>174</v>
      </c>
      <c r="E42" s="4" t="s">
        <v>175</v>
      </c>
      <c r="F42" s="4" t="s">
        <v>176</v>
      </c>
      <c r="G42" s="4" t="s">
        <v>177</v>
      </c>
      <c r="H42" s="14" t="s">
        <v>698</v>
      </c>
      <c r="I42" s="4">
        <v>1</v>
      </c>
      <c r="J42" s="4" t="s">
        <v>178</v>
      </c>
      <c r="K42" s="17">
        <v>0.499</v>
      </c>
      <c r="L42" s="4" t="s">
        <v>37</v>
      </c>
      <c r="M42" s="4" t="s">
        <v>179</v>
      </c>
      <c r="N42" s="6" t="s">
        <v>171</v>
      </c>
      <c r="O42" s="4" t="s">
        <v>180</v>
      </c>
    </row>
    <row r="43" spans="1:15" ht="38.25" x14ac:dyDescent="0.45">
      <c r="A43" s="4">
        <v>36</v>
      </c>
      <c r="B43" s="14" t="s">
        <v>710</v>
      </c>
      <c r="C43" s="4" t="s">
        <v>173</v>
      </c>
      <c r="D43" s="4" t="s">
        <v>174</v>
      </c>
      <c r="E43" s="4" t="s">
        <v>175</v>
      </c>
      <c r="F43" s="4" t="s">
        <v>176</v>
      </c>
      <c r="G43" s="4" t="s">
        <v>181</v>
      </c>
      <c r="H43" s="4"/>
      <c r="I43" s="4">
        <v>0</v>
      </c>
      <c r="J43" s="4" t="s">
        <v>182</v>
      </c>
      <c r="K43" s="4" t="s">
        <v>183</v>
      </c>
      <c r="L43" s="4" t="s">
        <v>37</v>
      </c>
      <c r="M43" s="4" t="s">
        <v>179</v>
      </c>
      <c r="N43" s="6" t="s">
        <v>171</v>
      </c>
      <c r="O43" s="4" t="s">
        <v>184</v>
      </c>
    </row>
    <row r="44" spans="1:15" ht="38.25" x14ac:dyDescent="0.45">
      <c r="A44" s="4">
        <v>37</v>
      </c>
      <c r="B44" s="14" t="s">
        <v>711</v>
      </c>
      <c r="C44" s="4" t="s">
        <v>173</v>
      </c>
      <c r="D44" s="4" t="s">
        <v>174</v>
      </c>
      <c r="E44" s="4" t="s">
        <v>175</v>
      </c>
      <c r="F44" s="4" t="s">
        <v>176</v>
      </c>
      <c r="G44" s="4" t="s">
        <v>185</v>
      </c>
      <c r="H44" s="14" t="s">
        <v>709</v>
      </c>
      <c r="I44" s="4">
        <v>1</v>
      </c>
      <c r="J44" s="4" t="s">
        <v>186</v>
      </c>
      <c r="K44" s="16">
        <v>0.36</v>
      </c>
      <c r="L44" s="4" t="s">
        <v>37</v>
      </c>
      <c r="M44" s="4" t="s">
        <v>187</v>
      </c>
      <c r="N44" s="6" t="s">
        <v>171</v>
      </c>
      <c r="O44" s="4" t="s">
        <v>188</v>
      </c>
    </row>
    <row r="45" spans="1:15" ht="25.5" x14ac:dyDescent="0.45">
      <c r="A45" s="4">
        <v>38</v>
      </c>
      <c r="B45" s="4" t="s">
        <v>53</v>
      </c>
      <c r="C45" s="4" t="s">
        <v>189</v>
      </c>
      <c r="D45" s="14" t="s">
        <v>314</v>
      </c>
      <c r="E45" s="14" t="s">
        <v>175</v>
      </c>
      <c r="F45" s="4" t="s">
        <v>190</v>
      </c>
      <c r="G45" s="4" t="s">
        <v>191</v>
      </c>
      <c r="H45" s="14" t="s">
        <v>698</v>
      </c>
      <c r="I45" s="4">
        <v>1</v>
      </c>
      <c r="J45" s="4" t="s">
        <v>192</v>
      </c>
      <c r="K45" s="16">
        <v>0.7</v>
      </c>
      <c r="L45" s="4" t="s">
        <v>37</v>
      </c>
      <c r="M45" s="4" t="s">
        <v>193</v>
      </c>
      <c r="N45" s="6" t="s">
        <v>171</v>
      </c>
      <c r="O45" s="4" t="s">
        <v>194</v>
      </c>
    </row>
    <row r="46" spans="1:15" ht="25.5" x14ac:dyDescent="0.45">
      <c r="A46" s="4">
        <v>39</v>
      </c>
      <c r="B46" s="4" t="s">
        <v>53</v>
      </c>
      <c r="C46" s="4" t="s">
        <v>189</v>
      </c>
      <c r="D46" s="4" t="s">
        <v>195</v>
      </c>
      <c r="E46" s="4" t="s">
        <v>33</v>
      </c>
      <c r="F46" s="4" t="s">
        <v>190</v>
      </c>
      <c r="G46" s="4" t="s">
        <v>196</v>
      </c>
      <c r="H46" s="14" t="s">
        <v>698</v>
      </c>
      <c r="I46" s="4">
        <v>1</v>
      </c>
      <c r="J46" s="4" t="s">
        <v>197</v>
      </c>
      <c r="K46" s="16">
        <v>0.35</v>
      </c>
      <c r="L46" s="4" t="s">
        <v>37</v>
      </c>
      <c r="M46" s="4" t="s">
        <v>198</v>
      </c>
      <c r="N46" s="6" t="s">
        <v>171</v>
      </c>
      <c r="O46" s="4" t="s">
        <v>199</v>
      </c>
    </row>
    <row r="47" spans="1:15" ht="25.5" x14ac:dyDescent="0.45">
      <c r="A47" s="4">
        <v>40</v>
      </c>
      <c r="B47" s="4" t="s">
        <v>53</v>
      </c>
      <c r="C47" s="4" t="s">
        <v>189</v>
      </c>
      <c r="D47" s="4" t="s">
        <v>59</v>
      </c>
      <c r="E47" s="4" t="s">
        <v>60</v>
      </c>
      <c r="F47" s="4" t="s">
        <v>190</v>
      </c>
      <c r="G47" s="4" t="s">
        <v>196</v>
      </c>
      <c r="H47" s="14" t="s">
        <v>698</v>
      </c>
      <c r="I47" s="4">
        <v>1</v>
      </c>
      <c r="J47" s="4" t="s">
        <v>197</v>
      </c>
      <c r="K47" s="5">
        <v>0.55000000000000004</v>
      </c>
      <c r="L47" s="4" t="s">
        <v>37</v>
      </c>
      <c r="M47" s="4" t="s">
        <v>200</v>
      </c>
      <c r="N47" s="6" t="s">
        <v>171</v>
      </c>
      <c r="O47" s="4" t="s">
        <v>201</v>
      </c>
    </row>
    <row r="48" spans="1:15" ht="25.5" x14ac:dyDescent="0.45">
      <c r="A48" s="4">
        <v>41</v>
      </c>
      <c r="B48" s="4" t="s">
        <v>53</v>
      </c>
      <c r="C48" s="4" t="s">
        <v>189</v>
      </c>
      <c r="D48" s="4" t="s">
        <v>202</v>
      </c>
      <c r="E48" s="4" t="s">
        <v>33</v>
      </c>
      <c r="F48" s="4" t="s">
        <v>190</v>
      </c>
      <c r="G48" s="4" t="s">
        <v>196</v>
      </c>
      <c r="H48" s="14" t="s">
        <v>698</v>
      </c>
      <c r="I48" s="4">
        <v>1</v>
      </c>
      <c r="J48" s="4" t="s">
        <v>197</v>
      </c>
      <c r="K48" s="5">
        <v>0.45</v>
      </c>
      <c r="L48" s="4" t="s">
        <v>37</v>
      </c>
      <c r="M48" s="4" t="s">
        <v>200</v>
      </c>
      <c r="N48" s="6" t="s">
        <v>171</v>
      </c>
      <c r="O48" s="4" t="s">
        <v>203</v>
      </c>
    </row>
    <row r="49" spans="1:15" ht="25.5" x14ac:dyDescent="0.45">
      <c r="A49" s="4">
        <v>41</v>
      </c>
      <c r="B49" s="4" t="s">
        <v>53</v>
      </c>
      <c r="C49" s="4" t="s">
        <v>189</v>
      </c>
      <c r="D49" s="14" t="s">
        <v>226</v>
      </c>
      <c r="E49" s="4" t="s">
        <v>227</v>
      </c>
      <c r="F49" s="4" t="s">
        <v>190</v>
      </c>
      <c r="G49" s="4" t="s">
        <v>196</v>
      </c>
      <c r="H49" s="14" t="s">
        <v>698</v>
      </c>
      <c r="I49" s="4">
        <v>1</v>
      </c>
      <c r="J49" s="4" t="s">
        <v>197</v>
      </c>
      <c r="K49" s="5">
        <v>0.52</v>
      </c>
      <c r="L49" s="4" t="s">
        <v>37</v>
      </c>
      <c r="M49" s="14" t="s">
        <v>715</v>
      </c>
      <c r="N49" s="6"/>
      <c r="O49" s="4"/>
    </row>
    <row r="50" spans="1:15" ht="25.5" x14ac:dyDescent="0.45">
      <c r="A50" s="4">
        <v>41</v>
      </c>
      <c r="B50" s="4" t="s">
        <v>53</v>
      </c>
      <c r="C50" s="4" t="s">
        <v>189</v>
      </c>
      <c r="D50" s="14" t="s">
        <v>713</v>
      </c>
      <c r="E50" s="14" t="s">
        <v>33</v>
      </c>
      <c r="F50" s="4" t="s">
        <v>190</v>
      </c>
      <c r="G50" s="4" t="s">
        <v>196</v>
      </c>
      <c r="H50" s="14" t="s">
        <v>698</v>
      </c>
      <c r="I50" s="4">
        <v>1</v>
      </c>
      <c r="J50" s="4" t="s">
        <v>197</v>
      </c>
      <c r="K50" s="5">
        <v>0.65</v>
      </c>
      <c r="L50" s="4" t="s">
        <v>37</v>
      </c>
      <c r="M50" s="14" t="s">
        <v>715</v>
      </c>
      <c r="N50" s="6"/>
      <c r="O50" s="4"/>
    </row>
    <row r="51" spans="1:15" ht="25.5" x14ac:dyDescent="0.45">
      <c r="A51" s="4">
        <v>41</v>
      </c>
      <c r="B51" s="4" t="s">
        <v>53</v>
      </c>
      <c r="C51" s="4" t="s">
        <v>189</v>
      </c>
      <c r="D51" s="14" t="s">
        <v>174</v>
      </c>
      <c r="E51" s="14" t="s">
        <v>175</v>
      </c>
      <c r="F51" s="4" t="s">
        <v>190</v>
      </c>
      <c r="G51" s="4" t="s">
        <v>196</v>
      </c>
      <c r="H51" s="14" t="s">
        <v>698</v>
      </c>
      <c r="I51" s="4">
        <v>1</v>
      </c>
      <c r="J51" s="4" t="s">
        <v>197</v>
      </c>
      <c r="K51" s="5">
        <v>0.65</v>
      </c>
      <c r="L51" s="4" t="s">
        <v>37</v>
      </c>
      <c r="M51" s="14" t="s">
        <v>715</v>
      </c>
      <c r="N51" s="6"/>
      <c r="O51" s="4"/>
    </row>
    <row r="52" spans="1:15" ht="25.5" x14ac:dyDescent="0.45">
      <c r="A52" s="4">
        <v>41</v>
      </c>
      <c r="B52" s="4" t="s">
        <v>53</v>
      </c>
      <c r="C52" s="4" t="s">
        <v>189</v>
      </c>
      <c r="D52" s="14" t="s">
        <v>714</v>
      </c>
      <c r="E52" s="14" t="s">
        <v>167</v>
      </c>
      <c r="F52" s="4" t="s">
        <v>190</v>
      </c>
      <c r="G52" s="4" t="s">
        <v>196</v>
      </c>
      <c r="H52" s="14" t="s">
        <v>698</v>
      </c>
      <c r="I52" s="4">
        <v>1</v>
      </c>
      <c r="J52" s="4" t="s">
        <v>197</v>
      </c>
      <c r="K52" s="5">
        <v>0.57999999999999996</v>
      </c>
      <c r="L52" s="4" t="s">
        <v>37</v>
      </c>
      <c r="M52" s="14" t="s">
        <v>715</v>
      </c>
      <c r="N52" s="6"/>
      <c r="O52" s="4"/>
    </row>
    <row r="53" spans="1:15" ht="25.5" x14ac:dyDescent="0.45">
      <c r="A53" s="4">
        <v>41</v>
      </c>
      <c r="B53" s="4" t="s">
        <v>53</v>
      </c>
      <c r="C53" s="4" t="s">
        <v>189</v>
      </c>
      <c r="D53" s="14" t="s">
        <v>81</v>
      </c>
      <c r="E53" s="14" t="s">
        <v>81</v>
      </c>
      <c r="F53" s="4">
        <v>2010</v>
      </c>
      <c r="G53" s="4" t="s">
        <v>196</v>
      </c>
      <c r="H53" s="14" t="s">
        <v>698</v>
      </c>
      <c r="I53" s="4">
        <v>1</v>
      </c>
      <c r="J53" s="4" t="s">
        <v>197</v>
      </c>
      <c r="K53" s="5">
        <v>0.6</v>
      </c>
      <c r="L53" s="4" t="s">
        <v>37</v>
      </c>
      <c r="M53" s="14" t="s">
        <v>715</v>
      </c>
      <c r="N53" s="6"/>
      <c r="O53" s="4"/>
    </row>
    <row r="54" spans="1:15" ht="51" x14ac:dyDescent="0.45">
      <c r="A54" s="4">
        <v>43</v>
      </c>
      <c r="B54" s="4" t="s">
        <v>48</v>
      </c>
      <c r="C54" s="4" t="s">
        <v>205</v>
      </c>
      <c r="D54" s="4" t="s">
        <v>174</v>
      </c>
      <c r="E54" s="4" t="s">
        <v>175</v>
      </c>
      <c r="F54" s="4" t="s">
        <v>206</v>
      </c>
      <c r="G54" s="4" t="s">
        <v>207</v>
      </c>
      <c r="H54" s="14" t="s">
        <v>698</v>
      </c>
      <c r="I54" s="4">
        <v>1</v>
      </c>
      <c r="J54" s="4" t="s">
        <v>208</v>
      </c>
      <c r="K54" s="16">
        <v>0.52</v>
      </c>
      <c r="L54" s="4" t="s">
        <v>37</v>
      </c>
      <c r="M54" s="4" t="s">
        <v>209</v>
      </c>
      <c r="N54" s="6" t="s">
        <v>171</v>
      </c>
      <c r="O54" s="4" t="s">
        <v>210</v>
      </c>
    </row>
    <row r="55" spans="1:15" ht="38.25" x14ac:dyDescent="0.45">
      <c r="A55" s="4">
        <v>44</v>
      </c>
      <c r="B55" s="4" t="s">
        <v>48</v>
      </c>
      <c r="C55" s="4" t="s">
        <v>205</v>
      </c>
      <c r="D55" s="4" t="s">
        <v>174</v>
      </c>
      <c r="E55" s="4" t="s">
        <v>175</v>
      </c>
      <c r="F55" s="4" t="s">
        <v>211</v>
      </c>
      <c r="G55" s="4" t="s">
        <v>212</v>
      </c>
      <c r="H55" s="4"/>
      <c r="I55" s="4">
        <v>0</v>
      </c>
      <c r="J55" s="4" t="s">
        <v>213</v>
      </c>
      <c r="K55" s="4" t="s">
        <v>214</v>
      </c>
      <c r="L55" s="4" t="s">
        <v>37</v>
      </c>
      <c r="M55" s="4" t="s">
        <v>209</v>
      </c>
      <c r="N55" s="6" t="s">
        <v>171</v>
      </c>
      <c r="O55" s="4"/>
    </row>
    <row r="56" spans="1:15" ht="76.5" x14ac:dyDescent="0.45">
      <c r="A56" s="4">
        <v>45</v>
      </c>
      <c r="B56" s="4" t="s">
        <v>48</v>
      </c>
      <c r="C56" s="4" t="s">
        <v>205</v>
      </c>
      <c r="D56" s="4" t="s">
        <v>174</v>
      </c>
      <c r="E56" s="4" t="s">
        <v>175</v>
      </c>
      <c r="F56" s="4" t="s">
        <v>211</v>
      </c>
      <c r="G56" s="4" t="s">
        <v>215</v>
      </c>
      <c r="H56" s="4"/>
      <c r="I56" s="4">
        <v>0</v>
      </c>
      <c r="J56" s="4" t="s">
        <v>216</v>
      </c>
      <c r="K56" s="4" t="s">
        <v>217</v>
      </c>
      <c r="L56" s="4" t="s">
        <v>37</v>
      </c>
      <c r="M56" s="4" t="s">
        <v>209</v>
      </c>
      <c r="N56" s="6" t="s">
        <v>171</v>
      </c>
      <c r="O56" s="4" t="s">
        <v>218</v>
      </c>
    </row>
    <row r="57" spans="1:15" ht="76.5" x14ac:dyDescent="0.45">
      <c r="A57" s="4">
        <v>46</v>
      </c>
      <c r="B57" s="4" t="s">
        <v>48</v>
      </c>
      <c r="C57" s="4" t="s">
        <v>205</v>
      </c>
      <c r="D57" s="4" t="s">
        <v>174</v>
      </c>
      <c r="E57" s="4" t="s">
        <v>175</v>
      </c>
      <c r="F57" s="4" t="s">
        <v>219</v>
      </c>
      <c r="G57" s="4" t="s">
        <v>220</v>
      </c>
      <c r="H57" s="4"/>
      <c r="I57" s="4">
        <v>0</v>
      </c>
      <c r="J57" s="4" t="s">
        <v>221</v>
      </c>
      <c r="K57" s="4" t="s">
        <v>222</v>
      </c>
      <c r="L57" s="4" t="s">
        <v>37</v>
      </c>
      <c r="M57" s="4" t="s">
        <v>223</v>
      </c>
      <c r="N57" s="6" t="s">
        <v>171</v>
      </c>
      <c r="O57" s="4" t="s">
        <v>224</v>
      </c>
    </row>
    <row r="58" spans="1:15" ht="38.25" x14ac:dyDescent="0.45">
      <c r="A58" s="4">
        <v>47</v>
      </c>
      <c r="B58" s="4" t="s">
        <v>30</v>
      </c>
      <c r="C58" s="4" t="s">
        <v>225</v>
      </c>
      <c r="D58" s="4" t="s">
        <v>226</v>
      </c>
      <c r="E58" s="4" t="s">
        <v>227</v>
      </c>
      <c r="F58" s="4" t="s">
        <v>228</v>
      </c>
      <c r="G58" s="4" t="s">
        <v>229</v>
      </c>
      <c r="H58" s="4"/>
      <c r="I58" s="4">
        <v>0</v>
      </c>
      <c r="J58" s="4" t="s">
        <v>230</v>
      </c>
      <c r="K58" s="4" t="s">
        <v>231</v>
      </c>
      <c r="L58" s="4" t="s">
        <v>148</v>
      </c>
      <c r="M58" s="4" t="s">
        <v>232</v>
      </c>
      <c r="N58" s="6" t="s">
        <v>171</v>
      </c>
      <c r="O58" s="4" t="s">
        <v>233</v>
      </c>
    </row>
    <row r="59" spans="1:15" ht="76.5" x14ac:dyDescent="0.45">
      <c r="A59" s="4">
        <v>48</v>
      </c>
      <c r="B59" s="4" t="s">
        <v>234</v>
      </c>
      <c r="C59" s="4" t="s">
        <v>225</v>
      </c>
      <c r="D59" s="4" t="s">
        <v>226</v>
      </c>
      <c r="E59" s="4" t="s">
        <v>227</v>
      </c>
      <c r="F59" s="4" t="s">
        <v>228</v>
      </c>
      <c r="G59" s="4" t="s">
        <v>235</v>
      </c>
      <c r="H59" s="14" t="s">
        <v>749</v>
      </c>
      <c r="I59" s="4">
        <v>0</v>
      </c>
      <c r="J59" s="4" t="s">
        <v>230</v>
      </c>
      <c r="K59" s="4" t="s">
        <v>236</v>
      </c>
      <c r="L59" s="4" t="s">
        <v>148</v>
      </c>
      <c r="M59" s="4" t="s">
        <v>237</v>
      </c>
      <c r="N59" s="6" t="s">
        <v>171</v>
      </c>
      <c r="O59" s="4" t="s">
        <v>238</v>
      </c>
    </row>
    <row r="60" spans="1:15" ht="38.25" x14ac:dyDescent="0.45">
      <c r="A60" s="4">
        <v>49</v>
      </c>
      <c r="B60" s="4" t="s">
        <v>239</v>
      </c>
      <c r="C60" s="4" t="s">
        <v>225</v>
      </c>
      <c r="D60" s="4" t="s">
        <v>226</v>
      </c>
      <c r="E60" s="4" t="s">
        <v>227</v>
      </c>
      <c r="F60" s="4" t="s">
        <v>228</v>
      </c>
      <c r="G60" s="4" t="s">
        <v>240</v>
      </c>
      <c r="H60" s="14" t="s">
        <v>750</v>
      </c>
      <c r="I60" s="4">
        <v>0</v>
      </c>
      <c r="J60" s="4" t="s">
        <v>241</v>
      </c>
      <c r="K60" s="4" t="s">
        <v>242</v>
      </c>
      <c r="L60" s="4" t="s">
        <v>37</v>
      </c>
      <c r="M60" s="4" t="s">
        <v>232</v>
      </c>
      <c r="N60" s="6" t="s">
        <v>171</v>
      </c>
      <c r="O60" s="4" t="s">
        <v>243</v>
      </c>
    </row>
    <row r="61" spans="1:15" ht="25.5" x14ac:dyDescent="0.45">
      <c r="A61" s="4">
        <v>50</v>
      </c>
      <c r="B61" s="14" t="s">
        <v>710</v>
      </c>
      <c r="C61" s="4" t="s">
        <v>225</v>
      </c>
      <c r="D61" s="4" t="s">
        <v>226</v>
      </c>
      <c r="E61" s="4" t="s">
        <v>227</v>
      </c>
      <c r="F61" s="4" t="s">
        <v>228</v>
      </c>
      <c r="G61" s="4" t="s">
        <v>244</v>
      </c>
      <c r="H61" s="14" t="s">
        <v>698</v>
      </c>
      <c r="I61" s="4">
        <v>1</v>
      </c>
      <c r="J61" s="4" t="s">
        <v>245</v>
      </c>
      <c r="K61" s="5">
        <v>0.71</v>
      </c>
      <c r="L61" s="4" t="s">
        <v>37</v>
      </c>
      <c r="M61" s="4" t="s">
        <v>232</v>
      </c>
      <c r="N61" s="6" t="s">
        <v>171</v>
      </c>
      <c r="O61" s="4" t="s">
        <v>246</v>
      </c>
    </row>
    <row r="62" spans="1:15" ht="25.5" x14ac:dyDescent="0.45">
      <c r="A62" s="4">
        <v>51</v>
      </c>
      <c r="B62" s="14" t="s">
        <v>710</v>
      </c>
      <c r="C62" s="4" t="s">
        <v>248</v>
      </c>
      <c r="D62" s="4" t="s">
        <v>174</v>
      </c>
      <c r="E62" s="4" t="s">
        <v>175</v>
      </c>
      <c r="F62" s="4" t="s">
        <v>249</v>
      </c>
      <c r="G62" s="4" t="s">
        <v>250</v>
      </c>
      <c r="H62" s="14" t="s">
        <v>698</v>
      </c>
      <c r="I62" s="4">
        <v>1</v>
      </c>
      <c r="J62" s="4" t="s">
        <v>251</v>
      </c>
      <c r="K62" s="16">
        <v>0.75</v>
      </c>
      <c r="L62" s="4" t="s">
        <v>37</v>
      </c>
      <c r="M62" s="4" t="s">
        <v>252</v>
      </c>
      <c r="N62" s="6" t="s">
        <v>171</v>
      </c>
      <c r="O62" s="4" t="s">
        <v>253</v>
      </c>
    </row>
    <row r="63" spans="1:15" ht="25.5" x14ac:dyDescent="0.45">
      <c r="A63" s="4">
        <v>52</v>
      </c>
      <c r="B63" s="4" t="s">
        <v>92</v>
      </c>
      <c r="C63" s="4" t="s">
        <v>248</v>
      </c>
      <c r="D63" s="4" t="s">
        <v>174</v>
      </c>
      <c r="E63" s="4" t="s">
        <v>175</v>
      </c>
      <c r="F63" s="4" t="s">
        <v>254</v>
      </c>
      <c r="G63" s="4" t="s">
        <v>255</v>
      </c>
      <c r="H63" s="14" t="s">
        <v>709</v>
      </c>
      <c r="I63" s="4">
        <v>1</v>
      </c>
      <c r="J63" s="4" t="s">
        <v>256</v>
      </c>
      <c r="K63" s="16">
        <v>0.05</v>
      </c>
      <c r="L63" s="4" t="s">
        <v>37</v>
      </c>
      <c r="M63" s="4" t="s">
        <v>257</v>
      </c>
      <c r="N63" s="6" t="s">
        <v>171</v>
      </c>
      <c r="O63" s="4" t="s">
        <v>258</v>
      </c>
    </row>
    <row r="64" spans="1:15" ht="63.75" x14ac:dyDescent="0.45">
      <c r="A64" s="4">
        <v>53</v>
      </c>
      <c r="B64" s="4" t="s">
        <v>247</v>
      </c>
      <c r="C64" s="4" t="s">
        <v>248</v>
      </c>
      <c r="D64" s="4" t="s">
        <v>174</v>
      </c>
      <c r="E64" s="4" t="s">
        <v>175</v>
      </c>
      <c r="F64" s="4" t="s">
        <v>54</v>
      </c>
      <c r="G64" s="4" t="s">
        <v>259</v>
      </c>
      <c r="H64" s="14" t="s">
        <v>751</v>
      </c>
      <c r="I64" s="4">
        <v>0</v>
      </c>
      <c r="J64" s="4" t="s">
        <v>260</v>
      </c>
      <c r="K64" s="4" t="s">
        <v>261</v>
      </c>
      <c r="L64" s="4" t="s">
        <v>37</v>
      </c>
      <c r="M64" s="4" t="s">
        <v>262</v>
      </c>
      <c r="N64" s="6" t="s">
        <v>171</v>
      </c>
      <c r="O64" s="4" t="s">
        <v>263</v>
      </c>
    </row>
    <row r="65" spans="1:15" ht="38.25" x14ac:dyDescent="0.45">
      <c r="A65" s="4">
        <v>54</v>
      </c>
      <c r="B65" s="4" t="s">
        <v>92</v>
      </c>
      <c r="C65" s="4" t="s">
        <v>264</v>
      </c>
      <c r="D65" s="4" t="s">
        <v>265</v>
      </c>
      <c r="E65" s="4" t="s">
        <v>266</v>
      </c>
      <c r="F65" s="4" t="s">
        <v>228</v>
      </c>
      <c r="G65" s="4" t="s">
        <v>267</v>
      </c>
      <c r="H65" s="14" t="s">
        <v>752</v>
      </c>
      <c r="I65" s="4">
        <v>0</v>
      </c>
      <c r="J65" s="4" t="s">
        <v>268</v>
      </c>
      <c r="K65" s="4" t="s">
        <v>269</v>
      </c>
      <c r="L65" s="4" t="s">
        <v>270</v>
      </c>
      <c r="M65" s="4" t="s">
        <v>271</v>
      </c>
      <c r="N65" s="6" t="s">
        <v>171</v>
      </c>
      <c r="O65" s="4" t="s">
        <v>272</v>
      </c>
    </row>
    <row r="66" spans="1:15" ht="38.25" x14ac:dyDescent="0.45">
      <c r="A66" s="4">
        <v>55</v>
      </c>
      <c r="B66" s="4" t="s">
        <v>92</v>
      </c>
      <c r="C66" s="4" t="s">
        <v>264</v>
      </c>
      <c r="D66" s="4" t="s">
        <v>265</v>
      </c>
      <c r="E66" s="4" t="s">
        <v>266</v>
      </c>
      <c r="F66" s="4" t="s">
        <v>273</v>
      </c>
      <c r="G66" s="4" t="s">
        <v>274</v>
      </c>
      <c r="H66" s="14" t="s">
        <v>753</v>
      </c>
      <c r="I66" s="4">
        <v>0</v>
      </c>
      <c r="J66" s="4" t="s">
        <v>275</v>
      </c>
      <c r="K66" s="4" t="s">
        <v>276</v>
      </c>
      <c r="L66" s="4" t="s">
        <v>37</v>
      </c>
      <c r="M66" s="4" t="s">
        <v>277</v>
      </c>
      <c r="N66" s="6" t="s">
        <v>171</v>
      </c>
      <c r="O66" s="4" t="s">
        <v>278</v>
      </c>
    </row>
    <row r="67" spans="1:15" ht="38.25" x14ac:dyDescent="0.45">
      <c r="A67" s="4">
        <v>56</v>
      </c>
      <c r="B67" s="4" t="s">
        <v>234</v>
      </c>
      <c r="C67" s="4" t="s">
        <v>279</v>
      </c>
      <c r="D67" s="4" t="s">
        <v>280</v>
      </c>
      <c r="E67" s="4" t="s">
        <v>281</v>
      </c>
      <c r="F67" s="4" t="s">
        <v>282</v>
      </c>
      <c r="G67" s="4" t="s">
        <v>283</v>
      </c>
      <c r="H67" s="14" t="s">
        <v>709</v>
      </c>
      <c r="I67" s="4">
        <v>1</v>
      </c>
      <c r="J67" s="4" t="s">
        <v>256</v>
      </c>
      <c r="K67" s="5">
        <v>0.55000000000000004</v>
      </c>
      <c r="L67" s="4" t="s">
        <v>37</v>
      </c>
      <c r="M67" s="4" t="s">
        <v>284</v>
      </c>
      <c r="N67" s="6" t="s">
        <v>171</v>
      </c>
      <c r="O67" s="4" t="s">
        <v>285</v>
      </c>
    </row>
    <row r="68" spans="1:15" ht="51" x14ac:dyDescent="0.45">
      <c r="A68" s="4">
        <v>57</v>
      </c>
      <c r="B68" s="4" t="s">
        <v>234</v>
      </c>
      <c r="C68" s="4" t="s">
        <v>279</v>
      </c>
      <c r="D68" s="4" t="s">
        <v>286</v>
      </c>
      <c r="E68" s="4" t="s">
        <v>281</v>
      </c>
      <c r="F68" s="4" t="s">
        <v>287</v>
      </c>
      <c r="G68" s="4" t="s">
        <v>288</v>
      </c>
      <c r="H68" s="14" t="s">
        <v>754</v>
      </c>
      <c r="I68" s="4">
        <v>0</v>
      </c>
      <c r="J68" s="4" t="s">
        <v>256</v>
      </c>
      <c r="K68" s="4" t="s">
        <v>289</v>
      </c>
      <c r="L68" s="4" t="s">
        <v>37</v>
      </c>
      <c r="M68" s="4" t="s">
        <v>284</v>
      </c>
      <c r="N68" s="6" t="s">
        <v>171</v>
      </c>
      <c r="O68" s="4"/>
    </row>
    <row r="69" spans="1:15" ht="38.25" x14ac:dyDescent="0.45">
      <c r="A69" s="4">
        <v>58</v>
      </c>
      <c r="B69" s="4" t="s">
        <v>290</v>
      </c>
      <c r="C69" s="4" t="s">
        <v>279</v>
      </c>
      <c r="D69" s="4" t="s">
        <v>291</v>
      </c>
      <c r="E69" s="4" t="s">
        <v>60</v>
      </c>
      <c r="F69" s="4" t="s">
        <v>131</v>
      </c>
      <c r="G69" s="4" t="s">
        <v>292</v>
      </c>
      <c r="H69" s="14" t="s">
        <v>709</v>
      </c>
      <c r="I69" s="4">
        <v>1</v>
      </c>
      <c r="J69" s="4" t="s">
        <v>293</v>
      </c>
      <c r="K69" s="16">
        <v>0.7</v>
      </c>
      <c r="L69" s="4" t="s">
        <v>37</v>
      </c>
      <c r="M69" s="4" t="s">
        <v>294</v>
      </c>
      <c r="N69" s="6" t="s">
        <v>171</v>
      </c>
      <c r="O69" s="4" t="s">
        <v>295</v>
      </c>
    </row>
    <row r="70" spans="1:15" ht="25.5" x14ac:dyDescent="0.45">
      <c r="A70" s="4">
        <v>59</v>
      </c>
      <c r="B70" s="4" t="s">
        <v>92</v>
      </c>
      <c r="C70" s="4" t="s">
        <v>279</v>
      </c>
      <c r="D70" s="4" t="s">
        <v>291</v>
      </c>
      <c r="E70" s="4" t="s">
        <v>60</v>
      </c>
      <c r="F70" s="4" t="s">
        <v>296</v>
      </c>
      <c r="G70" s="4" t="s">
        <v>297</v>
      </c>
      <c r="H70" s="14" t="s">
        <v>755</v>
      </c>
      <c r="I70" s="4">
        <v>0</v>
      </c>
      <c r="J70" s="4" t="s">
        <v>298</v>
      </c>
      <c r="K70" s="4" t="s">
        <v>299</v>
      </c>
      <c r="L70" s="4" t="s">
        <v>37</v>
      </c>
      <c r="M70" s="4" t="s">
        <v>294</v>
      </c>
      <c r="N70" s="6" t="s">
        <v>171</v>
      </c>
      <c r="O70" s="4" t="s">
        <v>300</v>
      </c>
    </row>
    <row r="71" spans="1:15" ht="38.25" x14ac:dyDescent="0.45">
      <c r="A71" s="4">
        <v>60</v>
      </c>
      <c r="B71" s="4" t="s">
        <v>234</v>
      </c>
      <c r="C71" s="4" t="s">
        <v>279</v>
      </c>
      <c r="D71" s="4" t="s">
        <v>301</v>
      </c>
      <c r="E71" s="4" t="s">
        <v>60</v>
      </c>
      <c r="F71" s="4" t="s">
        <v>287</v>
      </c>
      <c r="G71" s="4" t="s">
        <v>302</v>
      </c>
      <c r="H71" s="14" t="s">
        <v>709</v>
      </c>
      <c r="I71" s="4">
        <v>1</v>
      </c>
      <c r="J71" s="4" t="s">
        <v>303</v>
      </c>
      <c r="K71" s="5">
        <v>7.0000000000000007E-2</v>
      </c>
      <c r="L71" s="4" t="s">
        <v>37</v>
      </c>
      <c r="M71" s="4" t="s">
        <v>294</v>
      </c>
      <c r="N71" s="6" t="s">
        <v>171</v>
      </c>
      <c r="O71" s="4"/>
    </row>
    <row r="72" spans="1:15" ht="25.5" x14ac:dyDescent="0.45">
      <c r="A72" s="4">
        <v>61</v>
      </c>
      <c r="B72" s="4" t="s">
        <v>92</v>
      </c>
      <c r="C72" s="4" t="s">
        <v>279</v>
      </c>
      <c r="D72" s="4" t="s">
        <v>304</v>
      </c>
      <c r="E72" s="4" t="s">
        <v>167</v>
      </c>
      <c r="F72" s="4" t="s">
        <v>305</v>
      </c>
      <c r="G72" s="4" t="s">
        <v>306</v>
      </c>
      <c r="H72" s="14" t="s">
        <v>709</v>
      </c>
      <c r="I72" s="4">
        <v>1</v>
      </c>
      <c r="J72" s="4"/>
      <c r="K72" s="16">
        <v>0.3</v>
      </c>
      <c r="L72" s="4" t="s">
        <v>37</v>
      </c>
      <c r="M72" s="4" t="s">
        <v>307</v>
      </c>
      <c r="N72" s="6" t="s">
        <v>171</v>
      </c>
      <c r="O72" s="4" t="s">
        <v>308</v>
      </c>
    </row>
    <row r="73" spans="1:15" ht="89.25" x14ac:dyDescent="0.45">
      <c r="A73" s="4">
        <v>62</v>
      </c>
      <c r="B73" s="4" t="s">
        <v>234</v>
      </c>
      <c r="C73" s="4" t="s">
        <v>279</v>
      </c>
      <c r="D73" s="4" t="s">
        <v>309</v>
      </c>
      <c r="E73" s="4" t="s">
        <v>33</v>
      </c>
      <c r="F73" s="4" t="s">
        <v>310</v>
      </c>
      <c r="G73" s="4" t="s">
        <v>311</v>
      </c>
      <c r="H73" s="14" t="s">
        <v>709</v>
      </c>
      <c r="I73" s="4">
        <v>1</v>
      </c>
      <c r="J73" s="14" t="s">
        <v>716</v>
      </c>
      <c r="K73" s="16">
        <v>0.8</v>
      </c>
      <c r="L73" s="4" t="s">
        <v>37</v>
      </c>
      <c r="M73" s="4" t="s">
        <v>312</v>
      </c>
      <c r="N73" s="6" t="s">
        <v>171</v>
      </c>
      <c r="O73" s="4" t="s">
        <v>313</v>
      </c>
    </row>
    <row r="74" spans="1:15" ht="25.5" x14ac:dyDescent="0.45">
      <c r="A74" s="4">
        <v>63</v>
      </c>
      <c r="B74" s="4" t="s">
        <v>151</v>
      </c>
      <c r="C74" s="4" t="s">
        <v>279</v>
      </c>
      <c r="D74" s="4" t="s">
        <v>314</v>
      </c>
      <c r="E74" s="4" t="s">
        <v>175</v>
      </c>
      <c r="F74" s="4" t="s">
        <v>315</v>
      </c>
      <c r="G74" s="4" t="s">
        <v>316</v>
      </c>
      <c r="H74" s="14" t="s">
        <v>709</v>
      </c>
      <c r="I74" s="4">
        <v>1</v>
      </c>
      <c r="J74" s="4" t="s">
        <v>256</v>
      </c>
      <c r="K74" s="16">
        <v>0.9</v>
      </c>
      <c r="L74" s="4" t="s">
        <v>37</v>
      </c>
      <c r="M74" s="4" t="s">
        <v>317</v>
      </c>
      <c r="N74" s="6" t="s">
        <v>171</v>
      </c>
      <c r="O74" s="4" t="s">
        <v>318</v>
      </c>
    </row>
    <row r="75" spans="1:15" ht="25.5" x14ac:dyDescent="0.45">
      <c r="A75" s="4">
        <v>64</v>
      </c>
      <c r="B75" s="4" t="s">
        <v>151</v>
      </c>
      <c r="C75" s="4" t="s">
        <v>279</v>
      </c>
      <c r="D75" s="4" t="s">
        <v>319</v>
      </c>
      <c r="E75" s="4" t="s">
        <v>175</v>
      </c>
      <c r="F75" s="4" t="s">
        <v>320</v>
      </c>
      <c r="G75" s="4" t="s">
        <v>321</v>
      </c>
      <c r="H75" s="14" t="s">
        <v>709</v>
      </c>
      <c r="I75" s="4">
        <v>1</v>
      </c>
      <c r="J75" s="4" t="s">
        <v>322</v>
      </c>
      <c r="K75" s="16">
        <v>0.98</v>
      </c>
      <c r="L75" s="4" t="s">
        <v>37</v>
      </c>
      <c r="M75" s="4" t="s">
        <v>323</v>
      </c>
      <c r="N75" s="6" t="s">
        <v>171</v>
      </c>
      <c r="O75" s="4" t="s">
        <v>324</v>
      </c>
    </row>
    <row r="76" spans="1:15" ht="63.75" x14ac:dyDescent="0.45">
      <c r="A76" s="4">
        <v>65</v>
      </c>
      <c r="B76" s="4" t="s">
        <v>92</v>
      </c>
      <c r="C76" s="4" t="s">
        <v>279</v>
      </c>
      <c r="D76" s="4" t="s">
        <v>325</v>
      </c>
      <c r="E76" s="4" t="s">
        <v>326</v>
      </c>
      <c r="F76" s="4" t="s">
        <v>131</v>
      </c>
      <c r="G76" s="4" t="s">
        <v>327</v>
      </c>
      <c r="H76" s="14"/>
      <c r="I76" s="4">
        <v>0</v>
      </c>
      <c r="J76" s="4" t="s">
        <v>256</v>
      </c>
      <c r="K76" s="4" t="s">
        <v>328</v>
      </c>
      <c r="L76" s="4" t="s">
        <v>270</v>
      </c>
      <c r="M76" s="4" t="s">
        <v>317</v>
      </c>
      <c r="N76" s="6" t="s">
        <v>171</v>
      </c>
      <c r="O76" s="4"/>
    </row>
    <row r="77" spans="1:15" ht="38.25" x14ac:dyDescent="0.45">
      <c r="A77" s="4">
        <v>66</v>
      </c>
      <c r="B77" s="4" t="s">
        <v>92</v>
      </c>
      <c r="C77" s="4" t="s">
        <v>279</v>
      </c>
      <c r="D77" s="4" t="s">
        <v>329</v>
      </c>
      <c r="E77" s="4" t="s">
        <v>227</v>
      </c>
      <c r="F77" s="4" t="s">
        <v>330</v>
      </c>
      <c r="G77" s="4" t="s">
        <v>327</v>
      </c>
      <c r="H77" s="14" t="s">
        <v>709</v>
      </c>
      <c r="I77" s="4">
        <v>1</v>
      </c>
      <c r="J77" s="14" t="s">
        <v>717</v>
      </c>
      <c r="K77" s="19">
        <v>0.1</v>
      </c>
      <c r="L77" s="14" t="s">
        <v>37</v>
      </c>
      <c r="M77" s="4" t="s">
        <v>331</v>
      </c>
      <c r="N77" s="6" t="s">
        <v>171</v>
      </c>
      <c r="O77" s="4"/>
    </row>
    <row r="78" spans="1:15" x14ac:dyDescent="0.45">
      <c r="A78" s="20">
        <v>67</v>
      </c>
      <c r="B78" s="20" t="s">
        <v>234</v>
      </c>
      <c r="C78" s="20" t="s">
        <v>332</v>
      </c>
      <c r="D78" s="21" t="s">
        <v>280</v>
      </c>
      <c r="E78" s="21" t="s">
        <v>281</v>
      </c>
      <c r="F78" s="20" t="s">
        <v>333</v>
      </c>
      <c r="G78" s="20" t="s">
        <v>334</v>
      </c>
      <c r="H78" s="21" t="s">
        <v>709</v>
      </c>
      <c r="I78" s="20">
        <v>1</v>
      </c>
      <c r="J78" s="21" t="s">
        <v>718</v>
      </c>
      <c r="K78" s="23">
        <v>0.622</v>
      </c>
      <c r="L78" s="20" t="s">
        <v>37</v>
      </c>
      <c r="M78" s="20" t="s">
        <v>335</v>
      </c>
      <c r="N78" s="22" t="s">
        <v>171</v>
      </c>
      <c r="O78" s="20" t="s">
        <v>336</v>
      </c>
    </row>
    <row r="79" spans="1:15" x14ac:dyDescent="0.45">
      <c r="A79" s="20">
        <v>67</v>
      </c>
      <c r="B79" s="20" t="s">
        <v>234</v>
      </c>
      <c r="C79" s="20" t="s">
        <v>332</v>
      </c>
      <c r="D79" s="21" t="s">
        <v>174</v>
      </c>
      <c r="E79" s="4" t="s">
        <v>175</v>
      </c>
      <c r="F79" s="20" t="s">
        <v>333</v>
      </c>
      <c r="G79" s="20" t="s">
        <v>334</v>
      </c>
      <c r="H79" s="21" t="s">
        <v>709</v>
      </c>
      <c r="I79" s="20">
        <v>1</v>
      </c>
      <c r="J79" s="21" t="s">
        <v>718</v>
      </c>
      <c r="K79" s="24">
        <v>0.4</v>
      </c>
      <c r="L79" s="20" t="s">
        <v>37</v>
      </c>
      <c r="M79" s="20" t="s">
        <v>335</v>
      </c>
      <c r="N79" s="22" t="s">
        <v>171</v>
      </c>
      <c r="O79" s="20"/>
    </row>
    <row r="80" spans="1:15" x14ac:dyDescent="0.45">
      <c r="A80" s="20">
        <v>67</v>
      </c>
      <c r="B80" s="20" t="s">
        <v>234</v>
      </c>
      <c r="C80" s="20" t="s">
        <v>332</v>
      </c>
      <c r="D80" s="21" t="s">
        <v>314</v>
      </c>
      <c r="E80" s="4" t="s">
        <v>175</v>
      </c>
      <c r="F80" s="20" t="s">
        <v>333</v>
      </c>
      <c r="G80" s="20" t="s">
        <v>334</v>
      </c>
      <c r="H80" s="21" t="s">
        <v>709</v>
      </c>
      <c r="I80" s="20">
        <v>1</v>
      </c>
      <c r="J80" s="21" t="s">
        <v>718</v>
      </c>
      <c r="K80" s="23">
        <v>0.80500000000000005</v>
      </c>
      <c r="L80" s="20" t="s">
        <v>37</v>
      </c>
      <c r="M80" s="20" t="s">
        <v>335</v>
      </c>
      <c r="N80" s="22" t="s">
        <v>171</v>
      </c>
      <c r="O80" s="20"/>
    </row>
    <row r="81" spans="1:15" x14ac:dyDescent="0.45">
      <c r="A81" s="20">
        <v>67</v>
      </c>
      <c r="B81" s="20" t="s">
        <v>234</v>
      </c>
      <c r="C81" s="20" t="s">
        <v>332</v>
      </c>
      <c r="D81" s="21" t="s">
        <v>719</v>
      </c>
      <c r="E81" s="4" t="s">
        <v>175</v>
      </c>
      <c r="F81" s="20" t="s">
        <v>333</v>
      </c>
      <c r="G81" s="20" t="s">
        <v>334</v>
      </c>
      <c r="H81" s="21" t="s">
        <v>709</v>
      </c>
      <c r="I81" s="20">
        <v>1</v>
      </c>
      <c r="J81" s="21" t="s">
        <v>718</v>
      </c>
      <c r="K81" s="24">
        <v>0.91</v>
      </c>
      <c r="L81" s="20" t="s">
        <v>37</v>
      </c>
      <c r="M81" s="20" t="s">
        <v>335</v>
      </c>
      <c r="N81" s="22" t="s">
        <v>171</v>
      </c>
      <c r="O81" s="20"/>
    </row>
    <row r="82" spans="1:15" x14ac:dyDescent="0.45">
      <c r="A82" s="20">
        <v>67</v>
      </c>
      <c r="B82" s="20" t="s">
        <v>234</v>
      </c>
      <c r="C82" s="20" t="s">
        <v>332</v>
      </c>
      <c r="D82" s="21" t="s">
        <v>727</v>
      </c>
      <c r="E82" s="21" t="s">
        <v>481</v>
      </c>
      <c r="F82" s="20" t="s">
        <v>333</v>
      </c>
      <c r="G82" s="20" t="s">
        <v>334</v>
      </c>
      <c r="H82" s="21" t="s">
        <v>709</v>
      </c>
      <c r="I82" s="20">
        <v>1</v>
      </c>
      <c r="J82" s="21" t="s">
        <v>718</v>
      </c>
      <c r="K82" s="24">
        <v>0.32</v>
      </c>
      <c r="L82" s="20" t="s">
        <v>37</v>
      </c>
      <c r="M82" s="20" t="s">
        <v>335</v>
      </c>
      <c r="N82" s="22" t="s">
        <v>171</v>
      </c>
      <c r="O82" s="20"/>
    </row>
    <row r="83" spans="1:15" x14ac:dyDescent="0.45">
      <c r="A83" s="20">
        <v>67</v>
      </c>
      <c r="B83" s="20" t="s">
        <v>234</v>
      </c>
      <c r="C83" s="20" t="s">
        <v>332</v>
      </c>
      <c r="D83" s="21" t="s">
        <v>195</v>
      </c>
      <c r="E83" s="21" t="s">
        <v>33</v>
      </c>
      <c r="F83" s="20" t="s">
        <v>333</v>
      </c>
      <c r="G83" s="20" t="s">
        <v>334</v>
      </c>
      <c r="H83" s="21" t="s">
        <v>709</v>
      </c>
      <c r="I83" s="20">
        <v>1</v>
      </c>
      <c r="J83" s="21" t="s">
        <v>718</v>
      </c>
      <c r="K83" s="24">
        <v>0.86</v>
      </c>
      <c r="L83" s="20" t="s">
        <v>37</v>
      </c>
      <c r="M83" s="20" t="s">
        <v>335</v>
      </c>
      <c r="N83" s="22" t="s">
        <v>171</v>
      </c>
      <c r="O83" s="20"/>
    </row>
    <row r="84" spans="1:15" x14ac:dyDescent="0.45">
      <c r="A84" s="20">
        <v>67</v>
      </c>
      <c r="B84" s="20" t="s">
        <v>234</v>
      </c>
      <c r="C84" s="20" t="s">
        <v>332</v>
      </c>
      <c r="D84" s="21" t="s">
        <v>720</v>
      </c>
      <c r="E84" s="21" t="s">
        <v>33</v>
      </c>
      <c r="F84" s="20" t="s">
        <v>333</v>
      </c>
      <c r="G84" s="20" t="s">
        <v>334</v>
      </c>
      <c r="H84" s="21" t="s">
        <v>709</v>
      </c>
      <c r="I84" s="20">
        <v>1</v>
      </c>
      <c r="J84" s="21" t="s">
        <v>718</v>
      </c>
      <c r="K84" s="24">
        <v>0.94</v>
      </c>
      <c r="L84" s="20" t="s">
        <v>37</v>
      </c>
      <c r="M84" s="20" t="s">
        <v>335</v>
      </c>
      <c r="N84" s="22" t="s">
        <v>171</v>
      </c>
      <c r="O84" s="20"/>
    </row>
    <row r="85" spans="1:15" x14ac:dyDescent="0.45">
      <c r="A85" s="20">
        <v>67</v>
      </c>
      <c r="B85" s="20" t="s">
        <v>234</v>
      </c>
      <c r="C85" s="20" t="s">
        <v>332</v>
      </c>
      <c r="D85" s="21" t="s">
        <v>721</v>
      </c>
      <c r="E85" s="21" t="s">
        <v>33</v>
      </c>
      <c r="F85" s="20" t="s">
        <v>333</v>
      </c>
      <c r="G85" s="20" t="s">
        <v>334</v>
      </c>
      <c r="H85" s="21" t="s">
        <v>709</v>
      </c>
      <c r="I85" s="20">
        <v>1</v>
      </c>
      <c r="J85" s="21" t="s">
        <v>718</v>
      </c>
      <c r="K85" s="24">
        <v>0.26</v>
      </c>
      <c r="L85" s="20" t="s">
        <v>37</v>
      </c>
      <c r="M85" s="20" t="s">
        <v>335</v>
      </c>
      <c r="N85" s="22" t="s">
        <v>171</v>
      </c>
      <c r="O85" s="20"/>
    </row>
    <row r="86" spans="1:15" x14ac:dyDescent="0.45">
      <c r="A86" s="20">
        <v>67</v>
      </c>
      <c r="B86" s="20" t="s">
        <v>234</v>
      </c>
      <c r="C86" s="20" t="s">
        <v>332</v>
      </c>
      <c r="D86" s="21" t="s">
        <v>712</v>
      </c>
      <c r="E86" s="21" t="s">
        <v>33</v>
      </c>
      <c r="F86" s="20" t="s">
        <v>333</v>
      </c>
      <c r="G86" s="20" t="s">
        <v>334</v>
      </c>
      <c r="H86" s="21" t="s">
        <v>709</v>
      </c>
      <c r="I86" s="20">
        <v>1</v>
      </c>
      <c r="J86" s="21" t="s">
        <v>718</v>
      </c>
      <c r="K86" s="24">
        <v>0.62</v>
      </c>
      <c r="L86" s="20" t="s">
        <v>37</v>
      </c>
      <c r="M86" s="20" t="s">
        <v>335</v>
      </c>
      <c r="N86" s="22" t="s">
        <v>171</v>
      </c>
      <c r="O86" s="20"/>
    </row>
    <row r="87" spans="1:15" x14ac:dyDescent="0.45">
      <c r="A87" s="20">
        <v>67</v>
      </c>
      <c r="B87" s="20" t="s">
        <v>234</v>
      </c>
      <c r="C87" s="20" t="s">
        <v>332</v>
      </c>
      <c r="D87" s="21" t="s">
        <v>722</v>
      </c>
      <c r="E87" s="21" t="s">
        <v>33</v>
      </c>
      <c r="F87" s="20" t="s">
        <v>333</v>
      </c>
      <c r="G87" s="20" t="s">
        <v>334</v>
      </c>
      <c r="H87" s="21" t="s">
        <v>709</v>
      </c>
      <c r="I87" s="20">
        <v>1</v>
      </c>
      <c r="J87" s="21" t="s">
        <v>718</v>
      </c>
      <c r="K87" s="24">
        <v>0.86</v>
      </c>
      <c r="L87" s="20" t="s">
        <v>37</v>
      </c>
      <c r="M87" s="20" t="s">
        <v>335</v>
      </c>
      <c r="N87" s="22" t="s">
        <v>171</v>
      </c>
      <c r="O87" s="20"/>
    </row>
    <row r="88" spans="1:15" x14ac:dyDescent="0.45">
      <c r="A88" s="20">
        <v>67</v>
      </c>
      <c r="B88" s="20" t="s">
        <v>234</v>
      </c>
      <c r="C88" s="20" t="s">
        <v>332</v>
      </c>
      <c r="D88" s="21" t="s">
        <v>723</v>
      </c>
      <c r="E88" s="21" t="s">
        <v>33</v>
      </c>
      <c r="F88" s="20" t="s">
        <v>333</v>
      </c>
      <c r="G88" s="20" t="s">
        <v>334</v>
      </c>
      <c r="H88" s="21" t="s">
        <v>709</v>
      </c>
      <c r="I88" s="20">
        <v>1</v>
      </c>
      <c r="J88" s="21" t="s">
        <v>718</v>
      </c>
      <c r="K88" s="24">
        <v>0.8</v>
      </c>
      <c r="L88" s="20" t="s">
        <v>37</v>
      </c>
      <c r="M88" s="20" t="s">
        <v>335</v>
      </c>
      <c r="N88" s="22" t="s">
        <v>171</v>
      </c>
      <c r="O88" s="20"/>
    </row>
    <row r="89" spans="1:15" x14ac:dyDescent="0.45">
      <c r="A89" s="20">
        <v>67</v>
      </c>
      <c r="B89" s="20" t="s">
        <v>234</v>
      </c>
      <c r="C89" s="20" t="s">
        <v>332</v>
      </c>
      <c r="D89" s="21" t="s">
        <v>94</v>
      </c>
      <c r="E89" s="21" t="s">
        <v>33</v>
      </c>
      <c r="F89" s="20" t="s">
        <v>333</v>
      </c>
      <c r="G89" s="20" t="s">
        <v>334</v>
      </c>
      <c r="H89" s="21" t="s">
        <v>709</v>
      </c>
      <c r="I89" s="20">
        <v>1</v>
      </c>
      <c r="J89" s="21" t="s">
        <v>718</v>
      </c>
      <c r="K89" s="24">
        <v>0.98</v>
      </c>
      <c r="L89" s="20" t="s">
        <v>37</v>
      </c>
      <c r="M89" s="20" t="s">
        <v>335</v>
      </c>
      <c r="N89" s="22" t="s">
        <v>171</v>
      </c>
      <c r="O89" s="20"/>
    </row>
    <row r="90" spans="1:15" x14ac:dyDescent="0.45">
      <c r="A90" s="20">
        <v>67</v>
      </c>
      <c r="B90" s="20" t="s">
        <v>234</v>
      </c>
      <c r="C90" s="20" t="s">
        <v>332</v>
      </c>
      <c r="D90" s="21" t="s">
        <v>724</v>
      </c>
      <c r="E90" s="21" t="s">
        <v>33</v>
      </c>
      <c r="F90" s="20" t="s">
        <v>333</v>
      </c>
      <c r="G90" s="20" t="s">
        <v>334</v>
      </c>
      <c r="H90" s="21" t="s">
        <v>709</v>
      </c>
      <c r="I90" s="20">
        <v>1</v>
      </c>
      <c r="J90" s="21" t="s">
        <v>718</v>
      </c>
      <c r="K90" s="23">
        <v>0.67300000000000004</v>
      </c>
      <c r="L90" s="20" t="s">
        <v>37</v>
      </c>
      <c r="M90" s="20" t="s">
        <v>335</v>
      </c>
      <c r="N90" s="22" t="s">
        <v>171</v>
      </c>
      <c r="O90" s="20"/>
    </row>
    <row r="91" spans="1:15" x14ac:dyDescent="0.45">
      <c r="A91" s="20">
        <v>67</v>
      </c>
      <c r="B91" s="20" t="s">
        <v>234</v>
      </c>
      <c r="C91" s="20" t="s">
        <v>332</v>
      </c>
      <c r="D91" s="21" t="s">
        <v>725</v>
      </c>
      <c r="E91" s="21" t="s">
        <v>33</v>
      </c>
      <c r="F91" s="20" t="s">
        <v>333</v>
      </c>
      <c r="G91" s="20" t="s">
        <v>334</v>
      </c>
      <c r="H91" s="21" t="s">
        <v>709</v>
      </c>
      <c r="I91" s="20">
        <v>1</v>
      </c>
      <c r="J91" s="21" t="s">
        <v>718</v>
      </c>
      <c r="K91" s="23">
        <v>0.48399999999999999</v>
      </c>
      <c r="L91" s="20" t="s">
        <v>37</v>
      </c>
      <c r="M91" s="20" t="s">
        <v>335</v>
      </c>
      <c r="N91" s="22" t="s">
        <v>171</v>
      </c>
      <c r="O91" s="20"/>
    </row>
    <row r="92" spans="1:15" x14ac:dyDescent="0.45">
      <c r="A92" s="20">
        <v>67</v>
      </c>
      <c r="B92" s="20" t="s">
        <v>234</v>
      </c>
      <c r="C92" s="20" t="s">
        <v>332</v>
      </c>
      <c r="D92" s="21" t="s">
        <v>726</v>
      </c>
      <c r="E92" s="21" t="s">
        <v>33</v>
      </c>
      <c r="F92" s="20" t="s">
        <v>333</v>
      </c>
      <c r="G92" s="20" t="s">
        <v>334</v>
      </c>
      <c r="H92" s="21" t="s">
        <v>709</v>
      </c>
      <c r="I92" s="20">
        <v>1</v>
      </c>
      <c r="J92" s="21" t="s">
        <v>718</v>
      </c>
      <c r="K92" s="24">
        <v>0.14000000000000001</v>
      </c>
      <c r="L92" s="20" t="s">
        <v>37</v>
      </c>
      <c r="M92" s="20" t="s">
        <v>335</v>
      </c>
      <c r="N92" s="22" t="s">
        <v>171</v>
      </c>
      <c r="O92" s="20"/>
    </row>
    <row r="93" spans="1:15" x14ac:dyDescent="0.45">
      <c r="A93" s="20">
        <v>67</v>
      </c>
      <c r="B93" s="20" t="s">
        <v>234</v>
      </c>
      <c r="C93" s="20" t="s">
        <v>332</v>
      </c>
      <c r="D93" s="21" t="s">
        <v>459</v>
      </c>
      <c r="E93" s="21" t="s">
        <v>33</v>
      </c>
      <c r="F93" s="20" t="s">
        <v>333</v>
      </c>
      <c r="G93" s="20" t="s">
        <v>334</v>
      </c>
      <c r="H93" s="21" t="s">
        <v>709</v>
      </c>
      <c r="I93" s="20">
        <v>1</v>
      </c>
      <c r="J93" s="21" t="s">
        <v>718</v>
      </c>
      <c r="K93" s="24">
        <v>0.28000000000000003</v>
      </c>
      <c r="L93" s="20" t="s">
        <v>37</v>
      </c>
      <c r="M93" s="20" t="s">
        <v>335</v>
      </c>
      <c r="N93" s="22" t="s">
        <v>171</v>
      </c>
      <c r="O93" s="20"/>
    </row>
    <row r="94" spans="1:15" x14ac:dyDescent="0.45">
      <c r="A94" s="20">
        <v>67</v>
      </c>
      <c r="B94" s="20" t="s">
        <v>234</v>
      </c>
      <c r="C94" s="20" t="s">
        <v>332</v>
      </c>
      <c r="D94" s="21" t="s">
        <v>202</v>
      </c>
      <c r="E94" s="21" t="s">
        <v>33</v>
      </c>
      <c r="F94" s="20" t="s">
        <v>333</v>
      </c>
      <c r="G94" s="20" t="s">
        <v>334</v>
      </c>
      <c r="H94" s="21" t="s">
        <v>709</v>
      </c>
      <c r="I94" s="20">
        <v>1</v>
      </c>
      <c r="J94" s="21" t="s">
        <v>718</v>
      </c>
      <c r="K94" s="24">
        <v>0.65</v>
      </c>
      <c r="L94" s="20" t="s">
        <v>37</v>
      </c>
      <c r="M94" s="20" t="s">
        <v>335</v>
      </c>
      <c r="N94" s="22" t="s">
        <v>171</v>
      </c>
      <c r="O94" s="20"/>
    </row>
    <row r="95" spans="1:15" x14ac:dyDescent="0.45">
      <c r="A95" s="20">
        <v>67</v>
      </c>
      <c r="B95" s="20" t="s">
        <v>234</v>
      </c>
      <c r="C95" s="20" t="s">
        <v>332</v>
      </c>
      <c r="D95" s="21" t="s">
        <v>714</v>
      </c>
      <c r="E95" s="21" t="s">
        <v>167</v>
      </c>
      <c r="F95" s="20" t="s">
        <v>333</v>
      </c>
      <c r="G95" s="20" t="s">
        <v>334</v>
      </c>
      <c r="H95" s="21" t="s">
        <v>709</v>
      </c>
      <c r="I95" s="20">
        <v>1</v>
      </c>
      <c r="J95" s="21" t="s">
        <v>718</v>
      </c>
      <c r="K95" s="23">
        <v>6.1400000000000003E-2</v>
      </c>
      <c r="L95" s="20" t="s">
        <v>37</v>
      </c>
      <c r="M95" s="20" t="s">
        <v>335</v>
      </c>
      <c r="N95" s="22" t="s">
        <v>171</v>
      </c>
      <c r="O95" s="20"/>
    </row>
    <row r="96" spans="1:15" x14ac:dyDescent="0.45">
      <c r="A96" s="20">
        <v>67</v>
      </c>
      <c r="B96" s="20" t="s">
        <v>234</v>
      </c>
      <c r="C96" s="20" t="s">
        <v>332</v>
      </c>
      <c r="D96" s="21" t="s">
        <v>301</v>
      </c>
      <c r="E96" s="21" t="s">
        <v>60</v>
      </c>
      <c r="F96" s="20" t="s">
        <v>333</v>
      </c>
      <c r="G96" s="20" t="s">
        <v>334</v>
      </c>
      <c r="H96" s="21" t="s">
        <v>709</v>
      </c>
      <c r="I96" s="20">
        <v>1</v>
      </c>
      <c r="J96" s="21" t="s">
        <v>718</v>
      </c>
      <c r="K96" s="24">
        <v>0.3</v>
      </c>
      <c r="L96" s="20" t="s">
        <v>37</v>
      </c>
      <c r="M96" s="20" t="s">
        <v>335</v>
      </c>
      <c r="N96" s="22" t="s">
        <v>171</v>
      </c>
      <c r="O96" s="20"/>
    </row>
    <row r="97" spans="1:15" x14ac:dyDescent="0.45">
      <c r="A97" s="20">
        <v>67</v>
      </c>
      <c r="B97" s="20" t="s">
        <v>234</v>
      </c>
      <c r="C97" s="20" t="s">
        <v>332</v>
      </c>
      <c r="D97" s="21" t="s">
        <v>59</v>
      </c>
      <c r="E97" s="21" t="s">
        <v>60</v>
      </c>
      <c r="F97" s="20" t="s">
        <v>333</v>
      </c>
      <c r="G97" s="20" t="s">
        <v>334</v>
      </c>
      <c r="H97" s="21" t="s">
        <v>709</v>
      </c>
      <c r="I97" s="20">
        <v>1</v>
      </c>
      <c r="J97" s="21" t="s">
        <v>718</v>
      </c>
      <c r="K97" s="24">
        <v>0.48</v>
      </c>
      <c r="L97" s="20" t="s">
        <v>37</v>
      </c>
      <c r="M97" s="20" t="s">
        <v>335</v>
      </c>
      <c r="N97" s="22" t="s">
        <v>171</v>
      </c>
      <c r="O97" s="20"/>
    </row>
    <row r="98" spans="1:15" x14ac:dyDescent="0.45">
      <c r="A98" s="20">
        <v>67</v>
      </c>
      <c r="B98" s="20" t="s">
        <v>234</v>
      </c>
      <c r="C98" s="20" t="s">
        <v>332</v>
      </c>
      <c r="D98" s="21" t="s">
        <v>226</v>
      </c>
      <c r="E98" s="21" t="s">
        <v>227</v>
      </c>
      <c r="F98" s="20" t="s">
        <v>333</v>
      </c>
      <c r="G98" s="20" t="s">
        <v>334</v>
      </c>
      <c r="H98" s="21" t="s">
        <v>709</v>
      </c>
      <c r="I98" s="20">
        <v>1</v>
      </c>
      <c r="J98" s="21" t="s">
        <v>718</v>
      </c>
      <c r="K98" s="24">
        <v>0.16</v>
      </c>
      <c r="L98" s="20" t="s">
        <v>37</v>
      </c>
      <c r="M98" s="20" t="s">
        <v>335</v>
      </c>
      <c r="N98" s="22" t="s">
        <v>171</v>
      </c>
      <c r="O98" s="20"/>
    </row>
    <row r="99" spans="1:15" ht="140.25" x14ac:dyDescent="0.45">
      <c r="A99" s="4">
        <v>68</v>
      </c>
      <c r="B99" s="4" t="s">
        <v>337</v>
      </c>
      <c r="C99" s="4" t="s">
        <v>332</v>
      </c>
      <c r="D99" s="4" t="s">
        <v>338</v>
      </c>
      <c r="E99" s="4" t="s">
        <v>33</v>
      </c>
      <c r="F99" s="4" t="s">
        <v>34</v>
      </c>
      <c r="G99" s="4" t="s">
        <v>339</v>
      </c>
      <c r="H99" s="14" t="s">
        <v>756</v>
      </c>
      <c r="I99" s="4">
        <v>0</v>
      </c>
      <c r="J99" s="4" t="s">
        <v>340</v>
      </c>
      <c r="K99" s="4" t="s">
        <v>341</v>
      </c>
      <c r="L99" s="4" t="s">
        <v>148</v>
      </c>
      <c r="M99" s="4" t="s">
        <v>342</v>
      </c>
      <c r="N99" s="6" t="s">
        <v>171</v>
      </c>
      <c r="O99" s="4" t="s">
        <v>343</v>
      </c>
    </row>
    <row r="100" spans="1:15" ht="63.75" x14ac:dyDescent="0.45">
      <c r="A100" s="4">
        <v>69</v>
      </c>
      <c r="B100" s="4" t="s">
        <v>30</v>
      </c>
      <c r="C100" s="4" t="s">
        <v>173</v>
      </c>
      <c r="D100" s="4" t="s">
        <v>174</v>
      </c>
      <c r="E100" s="4" t="s">
        <v>175</v>
      </c>
      <c r="F100" s="4" t="s">
        <v>190</v>
      </c>
      <c r="G100" s="4" t="s">
        <v>344</v>
      </c>
      <c r="H100" s="4"/>
      <c r="I100" s="4">
        <v>0</v>
      </c>
      <c r="J100" s="4" t="s">
        <v>345</v>
      </c>
      <c r="K100" s="4">
        <v>51</v>
      </c>
      <c r="L100" s="4" t="s">
        <v>148</v>
      </c>
      <c r="M100" s="4" t="s">
        <v>346</v>
      </c>
      <c r="N100" s="6" t="s">
        <v>347</v>
      </c>
      <c r="O100" s="4" t="s">
        <v>348</v>
      </c>
    </row>
    <row r="101" spans="1:15" ht="25.5" x14ac:dyDescent="0.45">
      <c r="A101" s="4">
        <v>70</v>
      </c>
      <c r="B101" s="4" t="s">
        <v>48</v>
      </c>
      <c r="C101" s="4" t="s">
        <v>173</v>
      </c>
      <c r="D101" s="4" t="s">
        <v>174</v>
      </c>
      <c r="E101" s="4" t="s">
        <v>175</v>
      </c>
      <c r="F101" s="4" t="s">
        <v>190</v>
      </c>
      <c r="G101" s="4" t="s">
        <v>349</v>
      </c>
      <c r="H101" s="4"/>
      <c r="I101" s="4">
        <v>0</v>
      </c>
      <c r="J101" s="4" t="s">
        <v>350</v>
      </c>
      <c r="K101" s="4">
        <v>1.62</v>
      </c>
      <c r="L101" s="4" t="s">
        <v>148</v>
      </c>
      <c r="M101" s="4" t="s">
        <v>351</v>
      </c>
      <c r="N101" s="6" t="s">
        <v>347</v>
      </c>
      <c r="O101" s="4" t="s">
        <v>352</v>
      </c>
    </row>
    <row r="102" spans="1:15" ht="25.5" x14ac:dyDescent="0.45">
      <c r="A102" s="4">
        <v>71</v>
      </c>
      <c r="B102" s="4" t="s">
        <v>53</v>
      </c>
      <c r="C102" s="4" t="s">
        <v>173</v>
      </c>
      <c r="D102" s="4" t="s">
        <v>174</v>
      </c>
      <c r="E102" s="4" t="s">
        <v>175</v>
      </c>
      <c r="F102" s="4" t="s">
        <v>190</v>
      </c>
      <c r="G102" s="4" t="s">
        <v>353</v>
      </c>
      <c r="H102" s="4"/>
      <c r="I102" s="4">
        <v>0</v>
      </c>
      <c r="J102" s="4" t="s">
        <v>354</v>
      </c>
      <c r="K102" s="4">
        <v>4</v>
      </c>
      <c r="L102" s="4" t="s">
        <v>148</v>
      </c>
      <c r="M102" s="4" t="s">
        <v>355</v>
      </c>
      <c r="N102" s="6" t="s">
        <v>347</v>
      </c>
      <c r="O102" s="4" t="s">
        <v>352</v>
      </c>
    </row>
    <row r="103" spans="1:15" ht="51" x14ac:dyDescent="0.45">
      <c r="A103" s="4">
        <v>72</v>
      </c>
      <c r="B103" s="4" t="s">
        <v>247</v>
      </c>
      <c r="C103" s="4" t="s">
        <v>173</v>
      </c>
      <c r="D103" s="4" t="s">
        <v>174</v>
      </c>
      <c r="E103" s="4" t="s">
        <v>175</v>
      </c>
      <c r="F103" s="4" t="s">
        <v>190</v>
      </c>
      <c r="G103" s="4" t="s">
        <v>356</v>
      </c>
      <c r="H103" s="14" t="s">
        <v>757</v>
      </c>
      <c r="I103" s="4">
        <v>0</v>
      </c>
      <c r="J103" s="4" t="s">
        <v>357</v>
      </c>
      <c r="K103" s="4" t="s">
        <v>358</v>
      </c>
      <c r="L103" s="4" t="s">
        <v>37</v>
      </c>
      <c r="M103" s="4" t="s">
        <v>359</v>
      </c>
      <c r="N103" s="6" t="s">
        <v>347</v>
      </c>
      <c r="O103" s="4" t="s">
        <v>360</v>
      </c>
    </row>
    <row r="104" spans="1:15" ht="25.5" x14ac:dyDescent="0.45">
      <c r="A104" s="4">
        <v>73</v>
      </c>
      <c r="B104" s="4" t="s">
        <v>92</v>
      </c>
      <c r="C104" s="4" t="s">
        <v>173</v>
      </c>
      <c r="D104" s="4" t="s">
        <v>174</v>
      </c>
      <c r="E104" s="4" t="s">
        <v>175</v>
      </c>
      <c r="F104" s="4" t="s">
        <v>190</v>
      </c>
      <c r="G104" s="4" t="s">
        <v>361</v>
      </c>
      <c r="H104" s="14" t="s">
        <v>758</v>
      </c>
      <c r="I104" s="4">
        <v>0</v>
      </c>
      <c r="J104" s="4" t="s">
        <v>362</v>
      </c>
      <c r="K104" s="4">
        <v>48.7</v>
      </c>
      <c r="L104" s="4" t="s">
        <v>148</v>
      </c>
      <c r="M104" s="4" t="s">
        <v>363</v>
      </c>
      <c r="N104" s="6" t="s">
        <v>347</v>
      </c>
      <c r="O104" s="4" t="s">
        <v>364</v>
      </c>
    </row>
  </sheetData>
  <autoFilter ref="A1:O104" xr:uid="{00000000-0009-0000-0000-000001000000}"/>
  <pageMargins left="0.75" right="0.75" top="1" bottom="1" header="0.511811023622047" footer="0.511811023622047"/>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9"/>
  <sheetViews>
    <sheetView zoomScaleNormal="100" workbookViewId="0">
      <pane xSplit="1" ySplit="1" topLeftCell="B2" activePane="bottomRight" state="frozen"/>
      <selection pane="topRight" activeCell="B1" sqref="B1"/>
      <selection pane="bottomLeft" activeCell="A2" sqref="A2"/>
      <selection pane="bottomRight" activeCell="D6" sqref="D6"/>
    </sheetView>
  </sheetViews>
  <sheetFormatPr defaultColWidth="8.6640625" defaultRowHeight="14.25" x14ac:dyDescent="0.45"/>
  <cols>
    <col min="1" max="1" width="20" customWidth="1"/>
    <col min="2" max="2" width="22" customWidth="1"/>
    <col min="3" max="3" width="60" customWidth="1"/>
    <col min="4" max="4" width="38" customWidth="1"/>
    <col min="5" max="5" width="22" customWidth="1"/>
    <col min="6" max="6" width="20" customWidth="1"/>
    <col min="7" max="7" width="24" customWidth="1"/>
    <col min="8" max="8" width="50" customWidth="1"/>
  </cols>
  <sheetData>
    <row r="1" spans="1:8" ht="26.25" x14ac:dyDescent="0.45">
      <c r="A1" s="3" t="s">
        <v>365</v>
      </c>
      <c r="B1" s="3" t="s">
        <v>366</v>
      </c>
      <c r="C1" s="3" t="s">
        <v>367</v>
      </c>
      <c r="D1" s="3" t="s">
        <v>368</v>
      </c>
      <c r="E1" s="3" t="s">
        <v>369</v>
      </c>
      <c r="F1" s="3" t="s">
        <v>21</v>
      </c>
      <c r="G1" s="3" t="s">
        <v>370</v>
      </c>
      <c r="H1" s="3" t="s">
        <v>371</v>
      </c>
    </row>
    <row r="2" spans="1:8" ht="63.75" x14ac:dyDescent="0.45">
      <c r="A2" s="4" t="s">
        <v>372</v>
      </c>
      <c r="B2" s="4" t="s">
        <v>373</v>
      </c>
      <c r="C2" s="4" t="s">
        <v>374</v>
      </c>
      <c r="D2" s="9" t="s">
        <v>375</v>
      </c>
      <c r="E2" s="4" t="s">
        <v>376</v>
      </c>
      <c r="F2" s="4" t="s">
        <v>377</v>
      </c>
      <c r="G2" s="6" t="s">
        <v>378</v>
      </c>
      <c r="H2" s="4" t="s">
        <v>379</v>
      </c>
    </row>
    <row r="3" spans="1:8" ht="25.5" x14ac:dyDescent="0.45">
      <c r="A3" s="4" t="s">
        <v>380</v>
      </c>
      <c r="B3" s="4" t="s">
        <v>30</v>
      </c>
      <c r="C3" s="4" t="s">
        <v>381</v>
      </c>
      <c r="D3" s="9" t="s">
        <v>382</v>
      </c>
      <c r="E3" s="4" t="s">
        <v>383</v>
      </c>
      <c r="F3" s="4" t="s">
        <v>81</v>
      </c>
      <c r="G3" s="4" t="s">
        <v>384</v>
      </c>
      <c r="H3" s="4" t="s">
        <v>385</v>
      </c>
    </row>
    <row r="4" spans="1:8" ht="51" x14ac:dyDescent="0.45">
      <c r="A4" s="4" t="s">
        <v>31</v>
      </c>
      <c r="B4" s="4" t="s">
        <v>386</v>
      </c>
      <c r="C4" s="4" t="s">
        <v>387</v>
      </c>
      <c r="D4" s="9" t="s">
        <v>388</v>
      </c>
      <c r="E4" s="4" t="s">
        <v>32</v>
      </c>
      <c r="F4" s="4" t="s">
        <v>33</v>
      </c>
      <c r="G4" s="6" t="s">
        <v>39</v>
      </c>
      <c r="H4" s="4" t="s">
        <v>389</v>
      </c>
    </row>
    <row r="5" spans="1:8" ht="51" x14ac:dyDescent="0.45">
      <c r="A5" s="4" t="s">
        <v>165</v>
      </c>
      <c r="B5" s="4" t="s">
        <v>30</v>
      </c>
      <c r="C5" s="4" t="s">
        <v>390</v>
      </c>
      <c r="D5" s="9" t="s">
        <v>391</v>
      </c>
      <c r="E5" s="4" t="s">
        <v>392</v>
      </c>
      <c r="F5" s="4" t="s">
        <v>167</v>
      </c>
      <c r="G5" s="6" t="s">
        <v>171</v>
      </c>
      <c r="H5" s="4" t="s">
        <v>393</v>
      </c>
    </row>
    <row r="6" spans="1:8" ht="51" x14ac:dyDescent="0.45">
      <c r="A6" s="4" t="s">
        <v>173</v>
      </c>
      <c r="B6" s="4" t="s">
        <v>394</v>
      </c>
      <c r="C6" s="4" t="s">
        <v>395</v>
      </c>
      <c r="D6" s="9" t="s">
        <v>396</v>
      </c>
      <c r="E6" s="4" t="s">
        <v>174</v>
      </c>
      <c r="F6" s="4" t="s">
        <v>175</v>
      </c>
      <c r="G6" s="6" t="s">
        <v>347</v>
      </c>
      <c r="H6" s="4" t="s">
        <v>397</v>
      </c>
    </row>
    <row r="7" spans="1:8" ht="25.5" x14ac:dyDescent="0.45">
      <c r="A7" s="4" t="s">
        <v>398</v>
      </c>
      <c r="B7" s="4" t="s">
        <v>53</v>
      </c>
      <c r="C7" s="4" t="s">
        <v>399</v>
      </c>
      <c r="D7" s="4"/>
      <c r="E7" s="4" t="s">
        <v>400</v>
      </c>
      <c r="F7" s="4" t="s">
        <v>401</v>
      </c>
      <c r="G7" s="4" t="s">
        <v>384</v>
      </c>
      <c r="H7" s="4" t="s">
        <v>402</v>
      </c>
    </row>
    <row r="8" spans="1:8" ht="76.5" x14ac:dyDescent="0.45">
      <c r="A8" s="4" t="s">
        <v>80</v>
      </c>
      <c r="B8" s="4" t="s">
        <v>53</v>
      </c>
      <c r="C8" s="4" t="s">
        <v>403</v>
      </c>
      <c r="D8" s="9" t="s">
        <v>404</v>
      </c>
      <c r="E8" s="4" t="s">
        <v>81</v>
      </c>
      <c r="F8" s="4" t="s">
        <v>81</v>
      </c>
      <c r="G8" s="6" t="s">
        <v>405</v>
      </c>
      <c r="H8" s="4" t="s">
        <v>406</v>
      </c>
    </row>
    <row r="9" spans="1:8" ht="25.5" x14ac:dyDescent="0.45">
      <c r="A9" s="4" t="s">
        <v>407</v>
      </c>
      <c r="B9" s="4" t="s">
        <v>53</v>
      </c>
      <c r="C9" s="4" t="s">
        <v>408</v>
      </c>
      <c r="D9" s="4"/>
      <c r="E9" s="4" t="s">
        <v>409</v>
      </c>
      <c r="F9" s="4" t="s">
        <v>401</v>
      </c>
      <c r="G9" s="4" t="s">
        <v>384</v>
      </c>
      <c r="H9" s="4" t="s">
        <v>410</v>
      </c>
    </row>
    <row r="10" spans="1:8" ht="38.25" x14ac:dyDescent="0.45">
      <c r="A10" s="4" t="s">
        <v>189</v>
      </c>
      <c r="B10" s="4" t="s">
        <v>53</v>
      </c>
      <c r="C10" s="4" t="s">
        <v>411</v>
      </c>
      <c r="D10" s="9" t="s">
        <v>412</v>
      </c>
      <c r="E10" s="4" t="s">
        <v>413</v>
      </c>
      <c r="F10" s="4" t="s">
        <v>204</v>
      </c>
      <c r="G10" s="6" t="s">
        <v>171</v>
      </c>
      <c r="H10" s="4"/>
    </row>
    <row r="11" spans="1:8" ht="38.25" x14ac:dyDescent="0.45">
      <c r="A11" s="4" t="s">
        <v>414</v>
      </c>
      <c r="B11" s="4" t="s">
        <v>48</v>
      </c>
      <c r="C11" s="4" t="s">
        <v>415</v>
      </c>
      <c r="D11" s="9" t="s">
        <v>416</v>
      </c>
      <c r="E11" s="4" t="s">
        <v>314</v>
      </c>
      <c r="F11" s="4" t="s">
        <v>175</v>
      </c>
      <c r="G11" s="4" t="s">
        <v>384</v>
      </c>
      <c r="H11" s="4"/>
    </row>
    <row r="12" spans="1:8" ht="25.5" x14ac:dyDescent="0.45">
      <c r="A12" s="4" t="s">
        <v>58</v>
      </c>
      <c r="B12" s="4" t="s">
        <v>48</v>
      </c>
      <c r="C12" s="4" t="s">
        <v>417</v>
      </c>
      <c r="D12" s="9" t="s">
        <v>418</v>
      </c>
      <c r="E12" s="4" t="s">
        <v>59</v>
      </c>
      <c r="F12" s="4" t="s">
        <v>60</v>
      </c>
      <c r="G12" s="6" t="s">
        <v>39</v>
      </c>
      <c r="H12" s="4"/>
    </row>
    <row r="13" spans="1:8" ht="25.5" x14ac:dyDescent="0.45">
      <c r="A13" s="4" t="s">
        <v>85</v>
      </c>
      <c r="B13" s="4" t="s">
        <v>48</v>
      </c>
      <c r="C13" s="4" t="s">
        <v>419</v>
      </c>
      <c r="D13" s="9" t="s">
        <v>420</v>
      </c>
      <c r="E13" s="4" t="s">
        <v>421</v>
      </c>
      <c r="F13" s="4" t="s">
        <v>204</v>
      </c>
      <c r="G13" s="7" t="s">
        <v>89</v>
      </c>
      <c r="H13" s="4"/>
    </row>
    <row r="14" spans="1:8" ht="38.25" x14ac:dyDescent="0.45">
      <c r="A14" s="4" t="s">
        <v>422</v>
      </c>
      <c r="B14" s="4" t="s">
        <v>48</v>
      </c>
      <c r="C14" s="4" t="s">
        <v>423</v>
      </c>
      <c r="D14" s="9" t="s">
        <v>424</v>
      </c>
      <c r="E14" s="4" t="s">
        <v>81</v>
      </c>
      <c r="F14" s="4" t="s">
        <v>81</v>
      </c>
      <c r="G14" s="4" t="s">
        <v>384</v>
      </c>
      <c r="H14" s="4"/>
    </row>
    <row r="15" spans="1:8" ht="38.25" x14ac:dyDescent="0.45">
      <c r="A15" s="4" t="s">
        <v>425</v>
      </c>
      <c r="B15" s="4" t="s">
        <v>48</v>
      </c>
      <c r="C15" s="4" t="s">
        <v>426</v>
      </c>
      <c r="D15" s="9" t="s">
        <v>427</v>
      </c>
      <c r="E15" s="4" t="s">
        <v>428</v>
      </c>
      <c r="F15" s="4" t="s">
        <v>429</v>
      </c>
      <c r="G15" s="4" t="s">
        <v>430</v>
      </c>
      <c r="H15" s="4"/>
    </row>
    <row r="16" spans="1:8" ht="38.25" x14ac:dyDescent="0.45">
      <c r="A16" s="4" t="s">
        <v>431</v>
      </c>
      <c r="B16" s="4" t="s">
        <v>48</v>
      </c>
      <c r="C16" s="4" t="s">
        <v>432</v>
      </c>
      <c r="D16" s="9" t="s">
        <v>433</v>
      </c>
      <c r="E16" s="4" t="s">
        <v>434</v>
      </c>
      <c r="F16" s="4" t="s">
        <v>33</v>
      </c>
      <c r="G16" s="4" t="s">
        <v>384</v>
      </c>
      <c r="H16" s="4"/>
    </row>
    <row r="17" spans="1:8" ht="38.25" x14ac:dyDescent="0.45">
      <c r="A17" s="4" t="s">
        <v>205</v>
      </c>
      <c r="B17" s="4" t="s">
        <v>48</v>
      </c>
      <c r="C17" s="4" t="s">
        <v>435</v>
      </c>
      <c r="D17" s="9" t="s">
        <v>436</v>
      </c>
      <c r="E17" s="4" t="s">
        <v>174</v>
      </c>
      <c r="F17" s="4" t="s">
        <v>175</v>
      </c>
      <c r="G17" s="6" t="s">
        <v>171</v>
      </c>
      <c r="H17" s="4"/>
    </row>
    <row r="18" spans="1:8" ht="38.25" x14ac:dyDescent="0.45">
      <c r="A18" s="4" t="s">
        <v>437</v>
      </c>
      <c r="B18" s="4" t="s">
        <v>48</v>
      </c>
      <c r="C18" s="4" t="s">
        <v>438</v>
      </c>
      <c r="D18" s="9" t="s">
        <v>439</v>
      </c>
      <c r="E18" s="4" t="s">
        <v>81</v>
      </c>
      <c r="F18" s="4" t="s">
        <v>81</v>
      </c>
      <c r="G18" s="4" t="s">
        <v>384</v>
      </c>
      <c r="H18" s="4"/>
    </row>
    <row r="19" spans="1:8" ht="38.25" x14ac:dyDescent="0.45">
      <c r="A19" s="4" t="s">
        <v>279</v>
      </c>
      <c r="B19" s="4" t="s">
        <v>290</v>
      </c>
      <c r="C19" s="4" t="s">
        <v>440</v>
      </c>
      <c r="D19" s="9" t="s">
        <v>441</v>
      </c>
      <c r="E19" s="4" t="s">
        <v>442</v>
      </c>
      <c r="F19" s="4" t="s">
        <v>204</v>
      </c>
      <c r="G19" s="6" t="s">
        <v>171</v>
      </c>
      <c r="H19" s="4" t="s">
        <v>443</v>
      </c>
    </row>
    <row r="20" spans="1:8" ht="51" x14ac:dyDescent="0.45">
      <c r="A20" s="4" t="s">
        <v>444</v>
      </c>
      <c r="B20" s="4" t="s">
        <v>151</v>
      </c>
      <c r="C20" s="4" t="s">
        <v>445</v>
      </c>
      <c r="D20" s="9" t="s">
        <v>446</v>
      </c>
      <c r="E20" s="4" t="s">
        <v>447</v>
      </c>
      <c r="F20" s="4" t="s">
        <v>33</v>
      </c>
      <c r="G20" s="4" t="s">
        <v>384</v>
      </c>
      <c r="H20" s="4"/>
    </row>
    <row r="21" spans="1:8" ht="38.25" x14ac:dyDescent="0.45">
      <c r="A21" s="4" t="s">
        <v>264</v>
      </c>
      <c r="B21" s="4" t="s">
        <v>92</v>
      </c>
      <c r="C21" s="4" t="s">
        <v>448</v>
      </c>
      <c r="D21" s="4"/>
      <c r="E21" s="4" t="s">
        <v>449</v>
      </c>
      <c r="F21" s="4" t="s">
        <v>450</v>
      </c>
      <c r="G21" s="6" t="s">
        <v>171</v>
      </c>
      <c r="H21" s="4" t="s">
        <v>451</v>
      </c>
    </row>
    <row r="22" spans="1:8" ht="38.25" x14ac:dyDescent="0.45">
      <c r="A22" s="4" t="s">
        <v>452</v>
      </c>
      <c r="B22" s="4" t="s">
        <v>92</v>
      </c>
      <c r="C22" s="4" t="s">
        <v>453</v>
      </c>
      <c r="D22" s="9" t="s">
        <v>454</v>
      </c>
      <c r="E22" s="4" t="s">
        <v>455</v>
      </c>
      <c r="F22" s="4" t="s">
        <v>167</v>
      </c>
      <c r="G22" s="4" t="s">
        <v>384</v>
      </c>
      <c r="H22" s="4" t="s">
        <v>456</v>
      </c>
    </row>
    <row r="23" spans="1:8" ht="38.25" x14ac:dyDescent="0.45">
      <c r="A23" s="4" t="s">
        <v>457</v>
      </c>
      <c r="B23" s="4" t="s">
        <v>92</v>
      </c>
      <c r="C23" s="4" t="s">
        <v>458</v>
      </c>
      <c r="D23" s="4"/>
      <c r="E23" s="4" t="s">
        <v>459</v>
      </c>
      <c r="F23" s="4" t="s">
        <v>33</v>
      </c>
      <c r="G23" s="4" t="s">
        <v>384</v>
      </c>
      <c r="H23" s="4" t="s">
        <v>460</v>
      </c>
    </row>
    <row r="24" spans="1:8" ht="38.25" x14ac:dyDescent="0.45">
      <c r="A24" s="4" t="s">
        <v>225</v>
      </c>
      <c r="B24" s="4" t="s">
        <v>151</v>
      </c>
      <c r="C24" s="4" t="s">
        <v>461</v>
      </c>
      <c r="D24" s="9" t="s">
        <v>462</v>
      </c>
      <c r="E24" s="4" t="s">
        <v>463</v>
      </c>
      <c r="F24" s="4" t="s">
        <v>227</v>
      </c>
      <c r="G24" s="6" t="s">
        <v>171</v>
      </c>
      <c r="H24" s="4"/>
    </row>
    <row r="25" spans="1:8" ht="25.5" x14ac:dyDescent="0.45">
      <c r="A25" s="4" t="s">
        <v>464</v>
      </c>
      <c r="B25" s="4" t="s">
        <v>92</v>
      </c>
      <c r="C25" s="4" t="s">
        <v>465</v>
      </c>
      <c r="D25" s="9" t="s">
        <v>466</v>
      </c>
      <c r="E25" s="4" t="s">
        <v>59</v>
      </c>
      <c r="F25" s="4" t="s">
        <v>60</v>
      </c>
      <c r="G25" s="4" t="s">
        <v>384</v>
      </c>
      <c r="H25" s="4" t="s">
        <v>467</v>
      </c>
    </row>
    <row r="26" spans="1:8" ht="38.25" x14ac:dyDescent="0.45">
      <c r="A26" s="4" t="s">
        <v>468</v>
      </c>
      <c r="B26" s="4" t="s">
        <v>92</v>
      </c>
      <c r="C26" s="4" t="s">
        <v>469</v>
      </c>
      <c r="D26" s="4"/>
      <c r="E26" s="4" t="s">
        <v>470</v>
      </c>
      <c r="F26" s="4" t="s">
        <v>33</v>
      </c>
      <c r="G26" s="4" t="s">
        <v>384</v>
      </c>
      <c r="H26" s="4" t="s">
        <v>471</v>
      </c>
    </row>
    <row r="27" spans="1:8" ht="38.25" x14ac:dyDescent="0.45">
      <c r="A27" s="4" t="s">
        <v>472</v>
      </c>
      <c r="B27" s="4" t="s">
        <v>151</v>
      </c>
      <c r="C27" s="4" t="s">
        <v>473</v>
      </c>
      <c r="D27" s="4"/>
      <c r="E27" s="4" t="s">
        <v>314</v>
      </c>
      <c r="F27" s="4" t="s">
        <v>175</v>
      </c>
      <c r="G27" s="4" t="s">
        <v>384</v>
      </c>
      <c r="H27" s="4" t="s">
        <v>474</v>
      </c>
    </row>
    <row r="28" spans="1:8" ht="25.5" x14ac:dyDescent="0.45">
      <c r="A28" s="4" t="s">
        <v>475</v>
      </c>
      <c r="B28" s="4" t="s">
        <v>151</v>
      </c>
      <c r="C28" s="4" t="s">
        <v>476</v>
      </c>
      <c r="D28" s="4"/>
      <c r="E28" s="4" t="s">
        <v>94</v>
      </c>
      <c r="F28" s="4" t="s">
        <v>33</v>
      </c>
      <c r="G28" s="4" t="s">
        <v>384</v>
      </c>
      <c r="H28" s="4" t="s">
        <v>477</v>
      </c>
    </row>
    <row r="29" spans="1:8" ht="25.5" x14ac:dyDescent="0.45">
      <c r="A29" s="4" t="s">
        <v>478</v>
      </c>
      <c r="B29" s="4" t="s">
        <v>151</v>
      </c>
      <c r="C29" s="4" t="s">
        <v>479</v>
      </c>
      <c r="D29" s="4"/>
      <c r="E29" s="4" t="s">
        <v>480</v>
      </c>
      <c r="F29" s="4" t="s">
        <v>481</v>
      </c>
      <c r="G29" s="4" t="s">
        <v>384</v>
      </c>
      <c r="H29" s="4" t="s">
        <v>482</v>
      </c>
    </row>
    <row r="30" spans="1:8" ht="38.25" x14ac:dyDescent="0.45">
      <c r="A30" s="4" t="s">
        <v>332</v>
      </c>
      <c r="B30" s="4" t="s">
        <v>92</v>
      </c>
      <c r="C30" s="4" t="s">
        <v>483</v>
      </c>
      <c r="D30" s="9" t="s">
        <v>484</v>
      </c>
      <c r="E30" s="4" t="s">
        <v>485</v>
      </c>
      <c r="F30" s="4" t="s">
        <v>204</v>
      </c>
      <c r="G30" s="6" t="s">
        <v>171</v>
      </c>
      <c r="H30" s="4" t="s">
        <v>486</v>
      </c>
    </row>
    <row r="31" spans="1:8" ht="25.5" x14ac:dyDescent="0.45">
      <c r="A31" s="4" t="s">
        <v>152</v>
      </c>
      <c r="B31" s="4" t="s">
        <v>92</v>
      </c>
      <c r="C31" s="4" t="s">
        <v>487</v>
      </c>
      <c r="D31" s="9" t="s">
        <v>488</v>
      </c>
      <c r="E31" s="4" t="s">
        <v>59</v>
      </c>
      <c r="F31" s="4" t="s">
        <v>60</v>
      </c>
      <c r="G31" s="4" t="s">
        <v>489</v>
      </c>
      <c r="H31" s="4" t="s">
        <v>490</v>
      </c>
    </row>
    <row r="32" spans="1:8" ht="38.25" x14ac:dyDescent="0.45">
      <c r="A32" s="4" t="s">
        <v>491</v>
      </c>
      <c r="B32" s="4" t="s">
        <v>92</v>
      </c>
      <c r="C32" s="4" t="s">
        <v>492</v>
      </c>
      <c r="D32" s="9" t="s">
        <v>493</v>
      </c>
      <c r="E32" s="4" t="s">
        <v>174</v>
      </c>
      <c r="F32" s="4" t="s">
        <v>175</v>
      </c>
      <c r="G32" s="4" t="s">
        <v>384</v>
      </c>
      <c r="H32" s="4"/>
    </row>
    <row r="33" spans="1:8" ht="51" x14ac:dyDescent="0.45">
      <c r="A33" s="4" t="s">
        <v>93</v>
      </c>
      <c r="B33" s="4" t="s">
        <v>92</v>
      </c>
      <c r="C33" s="4" t="s">
        <v>494</v>
      </c>
      <c r="D33" s="9" t="s">
        <v>495</v>
      </c>
      <c r="E33" s="4" t="s">
        <v>94</v>
      </c>
      <c r="F33" s="4" t="s">
        <v>33</v>
      </c>
      <c r="G33" s="6" t="s">
        <v>98</v>
      </c>
      <c r="H33" s="4" t="s">
        <v>496</v>
      </c>
    </row>
    <row r="34" spans="1:8" ht="51" x14ac:dyDescent="0.45">
      <c r="A34" s="4" t="s">
        <v>248</v>
      </c>
      <c r="B34" s="4" t="s">
        <v>92</v>
      </c>
      <c r="C34" s="4" t="s">
        <v>497</v>
      </c>
      <c r="D34" s="9" t="s">
        <v>498</v>
      </c>
      <c r="E34" s="4" t="s">
        <v>174</v>
      </c>
      <c r="F34" s="4" t="s">
        <v>175</v>
      </c>
      <c r="G34" s="6" t="s">
        <v>171</v>
      </c>
      <c r="H34" s="4"/>
    </row>
    <row r="35" spans="1:8" ht="51" x14ac:dyDescent="0.45">
      <c r="A35" s="4" t="s">
        <v>136</v>
      </c>
      <c r="B35" s="4" t="s">
        <v>135</v>
      </c>
      <c r="C35" s="4" t="s">
        <v>499</v>
      </c>
      <c r="D35" s="9" t="s">
        <v>500</v>
      </c>
      <c r="E35" s="4" t="s">
        <v>501</v>
      </c>
      <c r="F35" s="4" t="s">
        <v>33</v>
      </c>
      <c r="G35" s="7" t="s">
        <v>502</v>
      </c>
      <c r="H35" s="4" t="s">
        <v>503</v>
      </c>
    </row>
    <row r="36" spans="1:8" ht="38.25" x14ac:dyDescent="0.45">
      <c r="A36" s="4" t="s">
        <v>504</v>
      </c>
      <c r="B36" s="4" t="s">
        <v>135</v>
      </c>
      <c r="C36" s="4" t="s">
        <v>505</v>
      </c>
      <c r="D36" s="9" t="s">
        <v>506</v>
      </c>
      <c r="E36" s="4" t="s">
        <v>507</v>
      </c>
      <c r="F36" s="4" t="s">
        <v>508</v>
      </c>
      <c r="G36" s="4" t="s">
        <v>384</v>
      </c>
      <c r="H36" s="4"/>
    </row>
    <row r="37" spans="1:8" ht="38.25" x14ac:dyDescent="0.45">
      <c r="A37" s="4" t="s">
        <v>509</v>
      </c>
      <c r="B37" s="4" t="s">
        <v>135</v>
      </c>
      <c r="C37" s="4" t="s">
        <v>510</v>
      </c>
      <c r="D37" s="9" t="s">
        <v>511</v>
      </c>
      <c r="E37" s="4" t="s">
        <v>447</v>
      </c>
      <c r="F37" s="4" t="s">
        <v>33</v>
      </c>
      <c r="G37" s="4" t="s">
        <v>384</v>
      </c>
      <c r="H37" s="4"/>
    </row>
    <row r="38" spans="1:8" ht="38.25" x14ac:dyDescent="0.45">
      <c r="A38" s="4" t="s">
        <v>512</v>
      </c>
      <c r="B38" s="4" t="s">
        <v>135</v>
      </c>
      <c r="C38" s="4" t="s">
        <v>513</v>
      </c>
      <c r="D38" s="9" t="s">
        <v>514</v>
      </c>
      <c r="E38" s="4" t="s">
        <v>195</v>
      </c>
      <c r="F38" s="4" t="s">
        <v>33</v>
      </c>
      <c r="G38" s="4" t="s">
        <v>384</v>
      </c>
      <c r="H38" s="4"/>
    </row>
    <row r="39" spans="1:8" ht="63.75" x14ac:dyDescent="0.45">
      <c r="A39" s="4" t="s">
        <v>515</v>
      </c>
      <c r="B39" s="4" t="s">
        <v>516</v>
      </c>
      <c r="C39" s="4" t="s">
        <v>517</v>
      </c>
      <c r="D39" s="9" t="s">
        <v>518</v>
      </c>
      <c r="E39" s="4" t="s">
        <v>519</v>
      </c>
      <c r="F39" s="4" t="s">
        <v>520</v>
      </c>
      <c r="G39" s="6" t="s">
        <v>521</v>
      </c>
      <c r="H39" s="4" t="s">
        <v>522</v>
      </c>
    </row>
  </sheetData>
  <autoFilter ref="A1:H39" xr:uid="{00000000-0009-0000-0000-000002000000}"/>
  <hyperlinks>
    <hyperlink ref="D2" r:id="rId1" xr:uid="{00000000-0004-0000-0200-000000000000}"/>
    <hyperlink ref="D3" r:id="rId2" xr:uid="{00000000-0004-0000-0200-000001000000}"/>
    <hyperlink ref="D4" r:id="rId3" xr:uid="{00000000-0004-0000-0200-000002000000}"/>
    <hyperlink ref="D5" r:id="rId4" xr:uid="{00000000-0004-0000-0200-000003000000}"/>
    <hyperlink ref="D6" r:id="rId5" xr:uid="{00000000-0004-0000-0200-000004000000}"/>
    <hyperlink ref="D8" r:id="rId6" xr:uid="{00000000-0004-0000-0200-000005000000}"/>
    <hyperlink ref="D10" r:id="rId7" xr:uid="{00000000-0004-0000-0200-000006000000}"/>
    <hyperlink ref="D11" r:id="rId8" xr:uid="{00000000-0004-0000-0200-000007000000}"/>
    <hyperlink ref="D12" r:id="rId9" xr:uid="{00000000-0004-0000-0200-000008000000}"/>
    <hyperlink ref="D13" r:id="rId10" xr:uid="{00000000-0004-0000-0200-000009000000}"/>
    <hyperlink ref="D14" r:id="rId11" xr:uid="{00000000-0004-0000-0200-00000A000000}"/>
    <hyperlink ref="D15" r:id="rId12" xr:uid="{00000000-0004-0000-0200-00000B000000}"/>
    <hyperlink ref="D16" r:id="rId13" xr:uid="{00000000-0004-0000-0200-00000C000000}"/>
    <hyperlink ref="D17" r:id="rId14" xr:uid="{00000000-0004-0000-0200-00000D000000}"/>
    <hyperlink ref="D18" r:id="rId15" xr:uid="{00000000-0004-0000-0200-00000E000000}"/>
    <hyperlink ref="D19" r:id="rId16" xr:uid="{00000000-0004-0000-0200-00000F000000}"/>
    <hyperlink ref="D20" r:id="rId17" xr:uid="{00000000-0004-0000-0200-000010000000}"/>
    <hyperlink ref="D22" r:id="rId18" xr:uid="{00000000-0004-0000-0200-000011000000}"/>
    <hyperlink ref="D24" r:id="rId19" xr:uid="{00000000-0004-0000-0200-000012000000}"/>
    <hyperlink ref="D25" r:id="rId20" xr:uid="{00000000-0004-0000-0200-000013000000}"/>
    <hyperlink ref="D30" r:id="rId21" xr:uid="{00000000-0004-0000-0200-000014000000}"/>
    <hyperlink ref="D31" r:id="rId22" xr:uid="{00000000-0004-0000-0200-000015000000}"/>
    <hyperlink ref="D32" r:id="rId23" xr:uid="{00000000-0004-0000-0200-000016000000}"/>
    <hyperlink ref="D33" r:id="rId24" xr:uid="{00000000-0004-0000-0200-000017000000}"/>
    <hyperlink ref="D34" r:id="rId25" xr:uid="{00000000-0004-0000-0200-000018000000}"/>
    <hyperlink ref="D35" r:id="rId26" xr:uid="{00000000-0004-0000-0200-000019000000}"/>
    <hyperlink ref="D36" r:id="rId27" xr:uid="{00000000-0004-0000-0200-00001A000000}"/>
    <hyperlink ref="D37" r:id="rId28" xr:uid="{00000000-0004-0000-0200-00001B000000}"/>
    <hyperlink ref="D38" r:id="rId29" xr:uid="{00000000-0004-0000-0200-00001C000000}"/>
    <hyperlink ref="D39" r:id="rId30" xr:uid="{00000000-0004-0000-0200-00001D000000}"/>
  </hyperlink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42DA7-53DE-42AC-8190-DD9D34EE581D}">
  <dimension ref="E1:H21"/>
  <sheetViews>
    <sheetView topLeftCell="D1" workbookViewId="0">
      <selection activeCell="G9" sqref="G9"/>
    </sheetView>
  </sheetViews>
  <sheetFormatPr defaultRowHeight="14.25" x14ac:dyDescent="0.45"/>
  <cols>
    <col min="1" max="4" width="10.59765625" customWidth="1"/>
    <col min="5" max="6" width="13.53125" bestFit="1" customWidth="1"/>
    <col min="7" max="7" width="44.265625" bestFit="1" customWidth="1"/>
    <col min="8" max="8" width="43.46484375" bestFit="1" customWidth="1"/>
    <col min="9" max="9" width="44.265625" bestFit="1" customWidth="1"/>
    <col min="10" max="10" width="48.86328125" bestFit="1" customWidth="1"/>
    <col min="11" max="11" width="48.06640625" bestFit="1" customWidth="1"/>
  </cols>
  <sheetData>
    <row r="1" spans="5:8" ht="15" customHeight="1" x14ac:dyDescent="0.45"/>
    <row r="2" spans="5:8" ht="15" customHeight="1" x14ac:dyDescent="0.45"/>
    <row r="3" spans="5:8" ht="15" customHeight="1" x14ac:dyDescent="0.45"/>
    <row r="4" spans="5:8" ht="15" customHeight="1" x14ac:dyDescent="0.45"/>
    <row r="5" spans="5:8" x14ac:dyDescent="0.45">
      <c r="E5" s="27" t="s">
        <v>699</v>
      </c>
      <c r="F5" s="28">
        <v>1</v>
      </c>
    </row>
    <row r="7" spans="5:8" x14ac:dyDescent="0.45">
      <c r="G7" s="27" t="s">
        <v>739</v>
      </c>
    </row>
    <row r="8" spans="5:8" x14ac:dyDescent="0.45">
      <c r="E8" s="27" t="s">
        <v>728</v>
      </c>
      <c r="F8" s="27" t="s">
        <v>21</v>
      </c>
      <c r="G8" t="s">
        <v>762</v>
      </c>
      <c r="H8" t="s">
        <v>761</v>
      </c>
    </row>
    <row r="9" spans="5:8" x14ac:dyDescent="0.45">
      <c r="E9" t="s">
        <v>729</v>
      </c>
      <c r="F9" t="s">
        <v>175</v>
      </c>
      <c r="G9" s="29">
        <v>0.2</v>
      </c>
      <c r="H9" s="30">
        <v>1</v>
      </c>
    </row>
    <row r="10" spans="5:8" x14ac:dyDescent="0.45">
      <c r="F10" t="s">
        <v>33</v>
      </c>
      <c r="G10" s="29">
        <v>0.31111111111111117</v>
      </c>
      <c r="H10" s="30">
        <v>9</v>
      </c>
    </row>
    <row r="11" spans="5:8" x14ac:dyDescent="0.45">
      <c r="F11" t="s">
        <v>167</v>
      </c>
      <c r="G11" s="29">
        <v>0.2</v>
      </c>
      <c r="H11" s="30">
        <v>1</v>
      </c>
    </row>
    <row r="12" spans="5:8" x14ac:dyDescent="0.45">
      <c r="F12" t="s">
        <v>60</v>
      </c>
      <c r="G12" s="29">
        <v>0.1</v>
      </c>
      <c r="H12" s="30">
        <v>1</v>
      </c>
    </row>
    <row r="13" spans="5:8" x14ac:dyDescent="0.45">
      <c r="F13" t="s">
        <v>281</v>
      </c>
      <c r="G13" s="29">
        <v>0.3</v>
      </c>
      <c r="H13" s="30">
        <v>1</v>
      </c>
    </row>
    <row r="14" spans="5:8" x14ac:dyDescent="0.45">
      <c r="F14" t="s">
        <v>481</v>
      </c>
      <c r="G14" s="29">
        <v>0</v>
      </c>
      <c r="H14" s="30">
        <v>1</v>
      </c>
    </row>
    <row r="15" spans="5:8" x14ac:dyDescent="0.45">
      <c r="F15" t="s">
        <v>81</v>
      </c>
      <c r="G15" s="29">
        <v>0.25</v>
      </c>
      <c r="H15" s="30">
        <v>2</v>
      </c>
    </row>
    <row r="16" spans="5:8" x14ac:dyDescent="0.45">
      <c r="E16" t="s">
        <v>730</v>
      </c>
      <c r="F16" t="s">
        <v>175</v>
      </c>
      <c r="G16" s="29">
        <v>1</v>
      </c>
      <c r="H16" s="30">
        <v>1</v>
      </c>
    </row>
    <row r="17" spans="5:8" x14ac:dyDescent="0.45">
      <c r="F17" t="s">
        <v>33</v>
      </c>
      <c r="G17" s="29">
        <v>0.96</v>
      </c>
      <c r="H17" s="30">
        <v>5</v>
      </c>
    </row>
    <row r="18" spans="5:8" x14ac:dyDescent="0.45">
      <c r="F18" t="s">
        <v>60</v>
      </c>
      <c r="G18" s="29">
        <v>1</v>
      </c>
      <c r="H18" s="30">
        <v>1</v>
      </c>
    </row>
    <row r="19" spans="5:8" x14ac:dyDescent="0.45">
      <c r="F19" t="s">
        <v>281</v>
      </c>
      <c r="G19" s="29">
        <v>1</v>
      </c>
      <c r="H19" s="30">
        <v>1</v>
      </c>
    </row>
    <row r="20" spans="5:8" x14ac:dyDescent="0.45">
      <c r="F20" t="s">
        <v>81</v>
      </c>
      <c r="G20" s="29">
        <v>1</v>
      </c>
      <c r="H20" s="30">
        <v>1</v>
      </c>
    </row>
    <row r="21" spans="5:8" x14ac:dyDescent="0.45">
      <c r="E21" t="s">
        <v>760</v>
      </c>
      <c r="G21" s="30">
        <v>0.51600000000000013</v>
      </c>
      <c r="H21" s="30">
        <v>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30"/>
  <sheetViews>
    <sheetView zoomScaleNormal="100" workbookViewId="0">
      <pane xSplit="1" ySplit="1" topLeftCell="B2" activePane="bottomRight" state="frozen"/>
      <selection pane="topRight" activeCell="B1" sqref="B1"/>
      <selection pane="bottomLeft" activeCell="A2" sqref="A2"/>
      <selection pane="bottomRight" activeCell="I9" sqref="I9"/>
    </sheetView>
  </sheetViews>
  <sheetFormatPr defaultColWidth="8.6640625" defaultRowHeight="14.25" x14ac:dyDescent="0.45"/>
  <cols>
    <col min="1" max="1" width="26" customWidth="1"/>
    <col min="2" max="2" width="16" customWidth="1"/>
    <col min="3" max="3" width="24" customWidth="1"/>
    <col min="4" max="4" width="26" customWidth="1"/>
    <col min="5" max="5" width="10.06640625" bestFit="1" customWidth="1"/>
    <col min="6" max="6" width="7.33203125" bestFit="1" customWidth="1"/>
    <col min="7" max="7" width="40" customWidth="1"/>
    <col min="8" max="8" width="30" customWidth="1"/>
    <col min="9" max="9" width="20" customWidth="1"/>
    <col min="10" max="10" width="26" customWidth="1"/>
    <col min="11" max="11" width="22" customWidth="1"/>
  </cols>
  <sheetData>
    <row r="1" spans="1:11" x14ac:dyDescent="0.45">
      <c r="A1" s="3" t="s">
        <v>523</v>
      </c>
      <c r="B1" s="3" t="s">
        <v>21</v>
      </c>
      <c r="C1" s="3" t="s">
        <v>524</v>
      </c>
      <c r="D1" s="3" t="s">
        <v>525</v>
      </c>
      <c r="E1" s="18" t="s">
        <v>728</v>
      </c>
      <c r="F1" s="18" t="s">
        <v>699</v>
      </c>
      <c r="G1" s="3" t="s">
        <v>526</v>
      </c>
      <c r="H1" s="3" t="s">
        <v>527</v>
      </c>
      <c r="I1" s="3" t="s">
        <v>528</v>
      </c>
      <c r="J1" s="3" t="s">
        <v>529</v>
      </c>
      <c r="K1" s="3" t="s">
        <v>28</v>
      </c>
    </row>
    <row r="2" spans="1:11" ht="25.5" x14ac:dyDescent="0.45">
      <c r="A2" s="4" t="s">
        <v>530</v>
      </c>
      <c r="B2" s="4" t="s">
        <v>281</v>
      </c>
      <c r="C2" s="4" t="s">
        <v>92</v>
      </c>
      <c r="D2" s="14" t="s">
        <v>731</v>
      </c>
      <c r="E2" s="14" t="s">
        <v>729</v>
      </c>
      <c r="F2" s="4">
        <v>1</v>
      </c>
      <c r="G2" s="16">
        <v>0.3</v>
      </c>
      <c r="H2" s="4" t="s">
        <v>531</v>
      </c>
      <c r="I2" s="4" t="s">
        <v>332</v>
      </c>
      <c r="J2" s="4" t="s">
        <v>532</v>
      </c>
      <c r="K2" s="4" t="s">
        <v>171</v>
      </c>
    </row>
    <row r="3" spans="1:11" ht="25.5" x14ac:dyDescent="0.45">
      <c r="A3" s="4" t="s">
        <v>530</v>
      </c>
      <c r="B3" s="4" t="s">
        <v>281</v>
      </c>
      <c r="C3" s="4" t="s">
        <v>92</v>
      </c>
      <c r="D3" s="4" t="s">
        <v>533</v>
      </c>
      <c r="E3" s="14" t="s">
        <v>730</v>
      </c>
      <c r="F3" s="4">
        <v>1</v>
      </c>
      <c r="G3" s="16">
        <v>1</v>
      </c>
      <c r="H3" s="4" t="s">
        <v>534</v>
      </c>
      <c r="I3" s="4" t="s">
        <v>332</v>
      </c>
      <c r="J3" s="4" t="s">
        <v>532</v>
      </c>
      <c r="K3" s="4" t="s">
        <v>171</v>
      </c>
    </row>
    <row r="4" spans="1:11" ht="25.5" x14ac:dyDescent="0.45">
      <c r="A4" s="4" t="s">
        <v>535</v>
      </c>
      <c r="B4" s="4" t="s">
        <v>175</v>
      </c>
      <c r="C4" s="4" t="s">
        <v>92</v>
      </c>
      <c r="D4" s="14" t="s">
        <v>732</v>
      </c>
      <c r="E4" s="14" t="s">
        <v>729</v>
      </c>
      <c r="F4" s="4">
        <v>1</v>
      </c>
      <c r="G4" s="16">
        <v>0.2</v>
      </c>
      <c r="H4" s="4" t="s">
        <v>537</v>
      </c>
      <c r="I4" s="4" t="s">
        <v>332</v>
      </c>
      <c r="J4" s="4" t="s">
        <v>532</v>
      </c>
      <c r="K4" s="4" t="s">
        <v>171</v>
      </c>
    </row>
    <row r="5" spans="1:11" ht="25.5" x14ac:dyDescent="0.45">
      <c r="A5" s="4" t="s">
        <v>535</v>
      </c>
      <c r="B5" s="4" t="s">
        <v>175</v>
      </c>
      <c r="C5" s="4" t="s">
        <v>92</v>
      </c>
      <c r="D5" s="14" t="s">
        <v>732</v>
      </c>
      <c r="E5" s="14" t="s">
        <v>730</v>
      </c>
      <c r="F5" s="4">
        <v>1</v>
      </c>
      <c r="G5" s="16">
        <v>1</v>
      </c>
      <c r="H5" s="4" t="s">
        <v>537</v>
      </c>
      <c r="I5" s="4" t="s">
        <v>332</v>
      </c>
      <c r="J5" s="4" t="s">
        <v>532</v>
      </c>
      <c r="K5" s="4" t="s">
        <v>171</v>
      </c>
    </row>
    <row r="6" spans="1:11" ht="25.5" x14ac:dyDescent="0.45">
      <c r="A6" s="4" t="s">
        <v>538</v>
      </c>
      <c r="B6" s="4" t="s">
        <v>33</v>
      </c>
      <c r="C6" s="4" t="s">
        <v>92</v>
      </c>
      <c r="D6" s="4" t="s">
        <v>539</v>
      </c>
      <c r="E6" s="4"/>
      <c r="F6" s="4">
        <v>0</v>
      </c>
      <c r="G6" s="4" t="s">
        <v>540</v>
      </c>
      <c r="H6" s="4" t="s">
        <v>541</v>
      </c>
      <c r="I6" s="4" t="s">
        <v>332</v>
      </c>
      <c r="J6" s="4" t="s">
        <v>542</v>
      </c>
      <c r="K6" s="4" t="s">
        <v>171</v>
      </c>
    </row>
    <row r="7" spans="1:11" ht="25.5" x14ac:dyDescent="0.45">
      <c r="A7" s="4" t="s">
        <v>543</v>
      </c>
      <c r="B7" s="4" t="s">
        <v>33</v>
      </c>
      <c r="C7" s="4" t="s">
        <v>92</v>
      </c>
      <c r="D7" s="14" t="s">
        <v>733</v>
      </c>
      <c r="E7" s="14" t="s">
        <v>729</v>
      </c>
      <c r="F7" s="26">
        <v>1</v>
      </c>
      <c r="G7" s="16">
        <v>0.2</v>
      </c>
      <c r="H7" s="4" t="s">
        <v>544</v>
      </c>
      <c r="I7" s="4" t="s">
        <v>332</v>
      </c>
      <c r="J7" s="4" t="s">
        <v>545</v>
      </c>
      <c r="K7" s="4" t="s">
        <v>171</v>
      </c>
    </row>
    <row r="8" spans="1:11" ht="25.5" x14ac:dyDescent="0.45">
      <c r="A8" s="4" t="s">
        <v>543</v>
      </c>
      <c r="B8" s="4" t="s">
        <v>33</v>
      </c>
      <c r="C8" s="4" t="s">
        <v>92</v>
      </c>
      <c r="D8" s="14" t="s">
        <v>733</v>
      </c>
      <c r="E8" s="14" t="s">
        <v>730</v>
      </c>
      <c r="F8" s="26">
        <v>1</v>
      </c>
      <c r="G8" s="16">
        <v>1</v>
      </c>
      <c r="H8" s="4" t="s">
        <v>544</v>
      </c>
      <c r="I8" s="14" t="s">
        <v>332</v>
      </c>
      <c r="J8" s="4" t="s">
        <v>545</v>
      </c>
      <c r="K8" s="4" t="s">
        <v>171</v>
      </c>
    </row>
    <row r="9" spans="1:11" ht="38.25" x14ac:dyDescent="0.45">
      <c r="A9" s="4" t="s">
        <v>546</v>
      </c>
      <c r="B9" s="4" t="s">
        <v>33</v>
      </c>
      <c r="C9" s="4" t="s">
        <v>547</v>
      </c>
      <c r="D9" s="14" t="s">
        <v>734</v>
      </c>
      <c r="E9" s="14" t="s">
        <v>729</v>
      </c>
      <c r="F9" s="26">
        <v>1</v>
      </c>
      <c r="G9" s="16">
        <v>0.7</v>
      </c>
      <c r="H9" s="4" t="s">
        <v>548</v>
      </c>
      <c r="I9" s="4" t="s">
        <v>332</v>
      </c>
      <c r="J9" s="4" t="s">
        <v>549</v>
      </c>
      <c r="K9" s="4" t="s">
        <v>171</v>
      </c>
    </row>
    <row r="10" spans="1:11" ht="25.5" x14ac:dyDescent="0.45">
      <c r="A10" s="4" t="s">
        <v>550</v>
      </c>
      <c r="B10" s="4" t="s">
        <v>33</v>
      </c>
      <c r="C10" s="4" t="s">
        <v>92</v>
      </c>
      <c r="D10" s="4" t="s">
        <v>551</v>
      </c>
      <c r="E10" s="14" t="s">
        <v>730</v>
      </c>
      <c r="F10" s="26">
        <v>1</v>
      </c>
      <c r="G10" s="16">
        <v>0.8</v>
      </c>
      <c r="H10" s="4" t="s">
        <v>548</v>
      </c>
      <c r="I10" s="4" t="s">
        <v>332</v>
      </c>
      <c r="J10" s="4" t="s">
        <v>552</v>
      </c>
      <c r="K10" s="4" t="s">
        <v>171</v>
      </c>
    </row>
    <row r="11" spans="1:11" ht="63.75" x14ac:dyDescent="0.45">
      <c r="A11" s="4" t="s">
        <v>553</v>
      </c>
      <c r="B11" s="4" t="s">
        <v>33</v>
      </c>
      <c r="C11" s="4" t="s">
        <v>92</v>
      </c>
      <c r="D11" s="14" t="s">
        <v>735</v>
      </c>
      <c r="E11" s="14" t="s">
        <v>729</v>
      </c>
      <c r="F11" s="26">
        <v>1</v>
      </c>
      <c r="G11" s="25">
        <v>0.6</v>
      </c>
      <c r="H11" s="4" t="s">
        <v>554</v>
      </c>
      <c r="I11" s="4" t="s">
        <v>332</v>
      </c>
      <c r="J11" s="4" t="s">
        <v>555</v>
      </c>
      <c r="K11" s="4" t="s">
        <v>171</v>
      </c>
    </row>
    <row r="12" spans="1:11" ht="63.75" x14ac:dyDescent="0.45">
      <c r="A12" s="4" t="s">
        <v>553</v>
      </c>
      <c r="B12" s="4" t="s">
        <v>33</v>
      </c>
      <c r="C12" s="4" t="s">
        <v>92</v>
      </c>
      <c r="D12" s="14" t="s">
        <v>735</v>
      </c>
      <c r="E12" s="14" t="s">
        <v>730</v>
      </c>
      <c r="F12" s="26">
        <v>1</v>
      </c>
      <c r="G12" s="25">
        <v>1</v>
      </c>
      <c r="H12" s="4" t="s">
        <v>554</v>
      </c>
      <c r="I12" s="4" t="s">
        <v>332</v>
      </c>
      <c r="J12" s="4" t="s">
        <v>555</v>
      </c>
      <c r="K12" s="4" t="s">
        <v>171</v>
      </c>
    </row>
    <row r="13" spans="1:11" ht="38.25" x14ac:dyDescent="0.45">
      <c r="A13" s="4" t="s">
        <v>556</v>
      </c>
      <c r="B13" s="4" t="s">
        <v>33</v>
      </c>
      <c r="C13" s="4" t="s">
        <v>547</v>
      </c>
      <c r="D13" s="4" t="s">
        <v>557</v>
      </c>
      <c r="E13" s="4" t="s">
        <v>729</v>
      </c>
      <c r="F13" s="26">
        <v>1</v>
      </c>
      <c r="G13" s="16">
        <v>0.2</v>
      </c>
      <c r="H13" s="4" t="s">
        <v>558</v>
      </c>
      <c r="I13" s="4" t="s">
        <v>332</v>
      </c>
      <c r="J13" s="4" t="s">
        <v>559</v>
      </c>
      <c r="K13" s="4" t="s">
        <v>171</v>
      </c>
    </row>
    <row r="14" spans="1:11" ht="25.5" x14ac:dyDescent="0.45">
      <c r="A14" s="4" t="s">
        <v>560</v>
      </c>
      <c r="B14" s="4" t="s">
        <v>33</v>
      </c>
      <c r="C14" s="4" t="s">
        <v>92</v>
      </c>
      <c r="D14" s="4" t="s">
        <v>561</v>
      </c>
      <c r="E14" s="4" t="s">
        <v>729</v>
      </c>
      <c r="F14" s="26">
        <v>1</v>
      </c>
      <c r="G14" s="16">
        <v>0.25</v>
      </c>
      <c r="H14" s="4" t="s">
        <v>562</v>
      </c>
      <c r="I14" s="4" t="s">
        <v>332</v>
      </c>
      <c r="J14" s="4" t="s">
        <v>559</v>
      </c>
      <c r="K14" s="4" t="s">
        <v>171</v>
      </c>
    </row>
    <row r="15" spans="1:11" ht="38.25" x14ac:dyDescent="0.45">
      <c r="A15" s="4" t="s">
        <v>563</v>
      </c>
      <c r="B15" s="14" t="s">
        <v>81</v>
      </c>
      <c r="C15" s="4" t="s">
        <v>92</v>
      </c>
      <c r="D15" s="14" t="s">
        <v>736</v>
      </c>
      <c r="E15" s="4" t="s">
        <v>729</v>
      </c>
      <c r="F15" s="4">
        <v>1</v>
      </c>
      <c r="G15" s="16">
        <v>0.2</v>
      </c>
      <c r="H15" s="4" t="s">
        <v>565</v>
      </c>
      <c r="I15" s="4" t="s">
        <v>332</v>
      </c>
      <c r="J15" s="4" t="s">
        <v>566</v>
      </c>
      <c r="K15" s="4" t="s">
        <v>171</v>
      </c>
    </row>
    <row r="16" spans="1:11" ht="25.5" x14ac:dyDescent="0.45">
      <c r="A16" s="4" t="s">
        <v>563</v>
      </c>
      <c r="B16" s="14" t="s">
        <v>81</v>
      </c>
      <c r="C16" s="4" t="s">
        <v>92</v>
      </c>
      <c r="D16" s="4" t="s">
        <v>564</v>
      </c>
      <c r="E16" s="4" t="s">
        <v>730</v>
      </c>
      <c r="F16" s="4">
        <v>1</v>
      </c>
      <c r="G16" s="16">
        <v>1</v>
      </c>
      <c r="H16" s="4" t="s">
        <v>565</v>
      </c>
      <c r="I16" s="4" t="s">
        <v>332</v>
      </c>
      <c r="J16" s="4" t="s">
        <v>566</v>
      </c>
      <c r="K16" s="4" t="s">
        <v>171</v>
      </c>
    </row>
    <row r="17" spans="1:11" ht="25.5" x14ac:dyDescent="0.45">
      <c r="A17" s="4" t="s">
        <v>567</v>
      </c>
      <c r="B17" s="4" t="s">
        <v>33</v>
      </c>
      <c r="C17" s="4" t="s">
        <v>92</v>
      </c>
      <c r="D17" s="4" t="s">
        <v>536</v>
      </c>
      <c r="E17" s="4" t="s">
        <v>729</v>
      </c>
      <c r="F17" s="4">
        <v>1</v>
      </c>
      <c r="G17" s="16">
        <v>0.2</v>
      </c>
      <c r="H17" s="4" t="s">
        <v>568</v>
      </c>
      <c r="I17" s="4" t="s">
        <v>332</v>
      </c>
      <c r="J17" s="4" t="s">
        <v>569</v>
      </c>
      <c r="K17" s="4" t="s">
        <v>171</v>
      </c>
    </row>
    <row r="18" spans="1:11" ht="25.5" x14ac:dyDescent="0.45">
      <c r="A18" s="4" t="s">
        <v>570</v>
      </c>
      <c r="B18" s="4" t="s">
        <v>33</v>
      </c>
      <c r="C18" s="4" t="s">
        <v>92</v>
      </c>
      <c r="D18" s="4" t="s">
        <v>536</v>
      </c>
      <c r="E18" s="4" t="s">
        <v>730</v>
      </c>
      <c r="F18" s="4">
        <v>1</v>
      </c>
      <c r="G18" s="16">
        <v>1</v>
      </c>
      <c r="H18" s="4" t="s">
        <v>571</v>
      </c>
      <c r="I18" s="4" t="s">
        <v>332</v>
      </c>
      <c r="J18" s="4" t="s">
        <v>572</v>
      </c>
      <c r="K18" s="4" t="s">
        <v>171</v>
      </c>
    </row>
    <row r="19" spans="1:11" ht="25.5" x14ac:dyDescent="0.45">
      <c r="A19" s="4" t="s">
        <v>573</v>
      </c>
      <c r="B19" s="4" t="s">
        <v>33</v>
      </c>
      <c r="C19" s="4" t="s">
        <v>92</v>
      </c>
      <c r="D19" s="14" t="s">
        <v>737</v>
      </c>
      <c r="E19" s="4" t="s">
        <v>729</v>
      </c>
      <c r="F19" s="4">
        <v>1</v>
      </c>
      <c r="G19" s="16">
        <v>0.2</v>
      </c>
      <c r="H19" s="4" t="s">
        <v>574</v>
      </c>
      <c r="I19" s="4" t="s">
        <v>332</v>
      </c>
      <c r="J19" s="4" t="s">
        <v>572</v>
      </c>
      <c r="K19" s="4" t="s">
        <v>171</v>
      </c>
    </row>
    <row r="20" spans="1:11" ht="25.5" x14ac:dyDescent="0.45">
      <c r="A20" s="4" t="s">
        <v>573</v>
      </c>
      <c r="B20" s="4" t="s">
        <v>33</v>
      </c>
      <c r="C20" s="4" t="s">
        <v>92</v>
      </c>
      <c r="D20" s="14" t="s">
        <v>737</v>
      </c>
      <c r="E20" s="4" t="s">
        <v>730</v>
      </c>
      <c r="F20" s="4">
        <v>1</v>
      </c>
      <c r="G20" s="16">
        <v>1</v>
      </c>
      <c r="H20" s="4" t="s">
        <v>574</v>
      </c>
      <c r="I20" s="4" t="s">
        <v>332</v>
      </c>
      <c r="J20" s="4" t="s">
        <v>572</v>
      </c>
      <c r="K20" s="4" t="s">
        <v>171</v>
      </c>
    </row>
    <row r="21" spans="1:11" ht="25.5" x14ac:dyDescent="0.45">
      <c r="A21" s="4" t="s">
        <v>575</v>
      </c>
      <c r="B21" s="4" t="s">
        <v>60</v>
      </c>
      <c r="C21" s="4" t="s">
        <v>92</v>
      </c>
      <c r="D21" s="4" t="s">
        <v>557</v>
      </c>
      <c r="E21" s="4" t="s">
        <v>730</v>
      </c>
      <c r="F21" s="4">
        <v>1</v>
      </c>
      <c r="G21" s="16">
        <v>1</v>
      </c>
      <c r="H21" s="4" t="s">
        <v>120</v>
      </c>
      <c r="I21" s="4" t="s">
        <v>332</v>
      </c>
      <c r="J21" s="4" t="s">
        <v>572</v>
      </c>
      <c r="K21" s="4" t="s">
        <v>171</v>
      </c>
    </row>
    <row r="22" spans="1:11" ht="25.5" x14ac:dyDescent="0.45">
      <c r="A22" s="4" t="s">
        <v>576</v>
      </c>
      <c r="B22" s="4" t="s">
        <v>60</v>
      </c>
      <c r="C22" s="4" t="s">
        <v>577</v>
      </c>
      <c r="D22" s="4" t="s">
        <v>551</v>
      </c>
      <c r="E22" s="4" t="s">
        <v>729</v>
      </c>
      <c r="F22" s="4">
        <v>1</v>
      </c>
      <c r="G22" s="16">
        <v>0.1</v>
      </c>
      <c r="H22" s="4" t="s">
        <v>270</v>
      </c>
      <c r="I22" s="4" t="s">
        <v>332</v>
      </c>
      <c r="J22" s="4" t="s">
        <v>552</v>
      </c>
      <c r="K22" s="4" t="s">
        <v>171</v>
      </c>
    </row>
    <row r="23" spans="1:11" ht="25.5" x14ac:dyDescent="0.45">
      <c r="A23" s="4" t="s">
        <v>578</v>
      </c>
      <c r="B23" s="4" t="s">
        <v>33</v>
      </c>
      <c r="C23" s="4" t="s">
        <v>579</v>
      </c>
      <c r="D23" s="4" t="s">
        <v>551</v>
      </c>
      <c r="E23" s="4" t="s">
        <v>729</v>
      </c>
      <c r="F23" s="4">
        <v>1</v>
      </c>
      <c r="G23" s="16">
        <v>0.2</v>
      </c>
      <c r="H23" s="4" t="s">
        <v>270</v>
      </c>
      <c r="I23" s="4" t="s">
        <v>332</v>
      </c>
      <c r="J23" s="4" t="s">
        <v>552</v>
      </c>
      <c r="K23" s="4" t="s">
        <v>171</v>
      </c>
    </row>
    <row r="24" spans="1:11" ht="25.5" x14ac:dyDescent="0.45">
      <c r="A24" s="4" t="s">
        <v>580</v>
      </c>
      <c r="B24" s="4" t="s">
        <v>167</v>
      </c>
      <c r="C24" s="4" t="s">
        <v>581</v>
      </c>
      <c r="D24" s="4" t="s">
        <v>582</v>
      </c>
      <c r="E24" s="4" t="s">
        <v>729</v>
      </c>
      <c r="F24" s="4">
        <v>1</v>
      </c>
      <c r="G24" s="16">
        <v>0.2</v>
      </c>
      <c r="H24" s="4" t="s">
        <v>120</v>
      </c>
      <c r="I24" s="4" t="s">
        <v>332</v>
      </c>
      <c r="J24" s="4" t="s">
        <v>583</v>
      </c>
      <c r="K24" s="4" t="s">
        <v>171</v>
      </c>
    </row>
    <row r="25" spans="1:11" ht="25.5" x14ac:dyDescent="0.45">
      <c r="A25" s="4" t="s">
        <v>584</v>
      </c>
      <c r="B25" s="4" t="s">
        <v>481</v>
      </c>
      <c r="C25" s="4" t="s">
        <v>92</v>
      </c>
      <c r="D25" s="4" t="s">
        <v>551</v>
      </c>
      <c r="E25" s="4" t="s">
        <v>729</v>
      </c>
      <c r="F25" s="4">
        <v>1</v>
      </c>
      <c r="G25" s="16">
        <v>0</v>
      </c>
      <c r="H25" s="4" t="s">
        <v>585</v>
      </c>
      <c r="I25" s="4" t="s">
        <v>279</v>
      </c>
      <c r="J25" s="4" t="s">
        <v>317</v>
      </c>
      <c r="K25" s="4" t="s">
        <v>171</v>
      </c>
    </row>
    <row r="26" spans="1:11" ht="25.5" x14ac:dyDescent="0.45">
      <c r="A26" s="4" t="s">
        <v>586</v>
      </c>
      <c r="B26" s="4" t="s">
        <v>81</v>
      </c>
      <c r="C26" s="4" t="s">
        <v>92</v>
      </c>
      <c r="D26" s="4" t="s">
        <v>551</v>
      </c>
      <c r="E26" s="4" t="s">
        <v>729</v>
      </c>
      <c r="F26" s="4">
        <v>1</v>
      </c>
      <c r="G26" s="16">
        <v>0.3</v>
      </c>
      <c r="H26" s="4" t="s">
        <v>587</v>
      </c>
      <c r="I26" s="4" t="s">
        <v>279</v>
      </c>
      <c r="J26" s="4" t="s">
        <v>588</v>
      </c>
      <c r="K26" s="4" t="s">
        <v>171</v>
      </c>
    </row>
    <row r="27" spans="1:11" ht="25.5" x14ac:dyDescent="0.45">
      <c r="A27" s="4" t="s">
        <v>589</v>
      </c>
      <c r="B27" s="4" t="s">
        <v>33</v>
      </c>
      <c r="C27" s="4" t="s">
        <v>92</v>
      </c>
      <c r="D27" s="4" t="s">
        <v>590</v>
      </c>
      <c r="E27" s="4" t="s">
        <v>729</v>
      </c>
      <c r="F27" s="4">
        <v>1</v>
      </c>
      <c r="G27" s="16">
        <v>0.25</v>
      </c>
      <c r="H27" s="4" t="s">
        <v>270</v>
      </c>
      <c r="I27" s="4" t="s">
        <v>93</v>
      </c>
      <c r="J27" s="4" t="s">
        <v>124</v>
      </c>
      <c r="K27" s="4" t="s">
        <v>98</v>
      </c>
    </row>
    <row r="28" spans="1:11" ht="38.25" x14ac:dyDescent="0.45">
      <c r="A28" s="4" t="s">
        <v>591</v>
      </c>
      <c r="B28" s="4" t="s">
        <v>270</v>
      </c>
      <c r="C28" s="4" t="s">
        <v>592</v>
      </c>
      <c r="D28" s="4" t="s">
        <v>593</v>
      </c>
      <c r="E28" s="4"/>
      <c r="F28" s="4">
        <v>0</v>
      </c>
      <c r="G28" s="4" t="s">
        <v>594</v>
      </c>
      <c r="H28" s="4" t="s">
        <v>595</v>
      </c>
      <c r="I28" s="4" t="s">
        <v>332</v>
      </c>
      <c r="J28" s="4" t="s">
        <v>596</v>
      </c>
      <c r="K28" s="4" t="s">
        <v>171</v>
      </c>
    </row>
    <row r="29" spans="1:11" ht="38.25" x14ac:dyDescent="0.45">
      <c r="A29" s="4" t="s">
        <v>597</v>
      </c>
      <c r="B29" s="4" t="s">
        <v>377</v>
      </c>
      <c r="C29" s="4" t="s">
        <v>598</v>
      </c>
      <c r="D29" s="4" t="s">
        <v>599</v>
      </c>
      <c r="E29" s="4"/>
      <c r="F29" s="4">
        <v>0</v>
      </c>
      <c r="G29" s="4" t="s">
        <v>600</v>
      </c>
      <c r="H29" s="4" t="s">
        <v>601</v>
      </c>
      <c r="I29" s="4" t="s">
        <v>602</v>
      </c>
      <c r="J29" s="4" t="s">
        <v>603</v>
      </c>
      <c r="K29" s="4" t="s">
        <v>378</v>
      </c>
    </row>
    <row r="30" spans="1:11" ht="25.5" x14ac:dyDescent="0.45">
      <c r="A30" s="4" t="s">
        <v>597</v>
      </c>
      <c r="B30" s="4" t="s">
        <v>377</v>
      </c>
      <c r="C30" s="4" t="s">
        <v>604</v>
      </c>
      <c r="D30" s="4" t="s">
        <v>599</v>
      </c>
      <c r="E30" s="4"/>
      <c r="F30" s="4">
        <v>0</v>
      </c>
      <c r="G30" s="4" t="s">
        <v>605</v>
      </c>
      <c r="H30" s="4" t="s">
        <v>606</v>
      </c>
      <c r="I30" s="4" t="s">
        <v>602</v>
      </c>
      <c r="J30" s="4" t="s">
        <v>607</v>
      </c>
      <c r="K30" s="4" t="s">
        <v>378</v>
      </c>
    </row>
  </sheetData>
  <autoFilter ref="A1:K30" xr:uid="{00000000-0009-0000-0000-000003000000}"/>
  <pageMargins left="0.75" right="0.75" top="1" bottom="1" header="0.511811023622047" footer="0.511811023622047"/>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
  <sheetViews>
    <sheetView zoomScale="130" zoomScaleNormal="130" workbookViewId="0">
      <selection activeCell="B8" sqref="B8"/>
    </sheetView>
  </sheetViews>
  <sheetFormatPr defaultColWidth="8.6640625" defaultRowHeight="14.25" x14ac:dyDescent="0.45"/>
  <cols>
    <col min="1" max="1" width="24" customWidth="1"/>
    <col min="2" max="2" width="100" customWidth="1"/>
    <col min="3" max="3" width="36" customWidth="1"/>
  </cols>
  <sheetData>
    <row r="1" spans="1:3" x14ac:dyDescent="0.45">
      <c r="A1" s="1" t="s">
        <v>608</v>
      </c>
      <c r="B1" s="1" t="s">
        <v>609</v>
      </c>
      <c r="C1" s="1" t="s">
        <v>610</v>
      </c>
    </row>
    <row r="2" spans="1:3" ht="38.25" x14ac:dyDescent="0.45">
      <c r="A2" s="4" t="s">
        <v>611</v>
      </c>
      <c r="B2" s="4" t="s">
        <v>612</v>
      </c>
      <c r="C2" s="4" t="s">
        <v>613</v>
      </c>
    </row>
    <row r="3" spans="1:3" x14ac:dyDescent="0.45">
      <c r="A3" s="4" t="s">
        <v>614</v>
      </c>
      <c r="B3" s="4" t="s">
        <v>615</v>
      </c>
      <c r="C3" s="4" t="s">
        <v>616</v>
      </c>
    </row>
    <row r="4" spans="1:3" ht="25.5" x14ac:dyDescent="0.45">
      <c r="A4" s="4" t="s">
        <v>617</v>
      </c>
      <c r="B4" s="4" t="s">
        <v>618</v>
      </c>
      <c r="C4" s="4" t="s">
        <v>619</v>
      </c>
    </row>
    <row r="5" spans="1:3" ht="38.25" x14ac:dyDescent="0.45">
      <c r="A5" s="4" t="s">
        <v>620</v>
      </c>
      <c r="B5" s="4" t="s">
        <v>621</v>
      </c>
      <c r="C5" s="4" t="s">
        <v>622</v>
      </c>
    </row>
    <row r="6" spans="1:3" x14ac:dyDescent="0.45">
      <c r="A6" s="4" t="s">
        <v>623</v>
      </c>
      <c r="B6" s="4" t="s">
        <v>624</v>
      </c>
      <c r="C6" s="4" t="s">
        <v>625</v>
      </c>
    </row>
    <row r="7" spans="1:3" ht="25.5" x14ac:dyDescent="0.45">
      <c r="A7" s="4" t="s">
        <v>626</v>
      </c>
      <c r="B7" s="4" t="s">
        <v>627</v>
      </c>
      <c r="C7" s="4" t="s">
        <v>628</v>
      </c>
    </row>
    <row r="8" spans="1:3" ht="25.5" x14ac:dyDescent="0.45">
      <c r="A8" s="4" t="s">
        <v>629</v>
      </c>
      <c r="B8" s="4" t="s">
        <v>630</v>
      </c>
      <c r="C8" s="4" t="s">
        <v>631</v>
      </c>
    </row>
    <row r="9" spans="1:3" ht="25.5" x14ac:dyDescent="0.45">
      <c r="A9" s="4" t="s">
        <v>632</v>
      </c>
      <c r="B9" s="4" t="s">
        <v>633</v>
      </c>
      <c r="C9" s="4" t="s">
        <v>634</v>
      </c>
    </row>
    <row r="10" spans="1:3" ht="25.5" x14ac:dyDescent="0.45">
      <c r="A10" s="4" t="s">
        <v>635</v>
      </c>
      <c r="B10" s="4" t="s">
        <v>636</v>
      </c>
      <c r="C10" s="4" t="s">
        <v>637</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39"/>
  <sheetViews>
    <sheetView zoomScale="115" zoomScaleNormal="115" workbookViewId="0">
      <pane xSplit="3" ySplit="3" topLeftCell="D4" activePane="bottomRight" state="frozen"/>
      <selection pane="topRight" activeCell="D1" sqref="D1"/>
      <selection pane="bottomLeft" activeCell="A4" sqref="A4"/>
      <selection pane="bottomRight"/>
    </sheetView>
  </sheetViews>
  <sheetFormatPr defaultColWidth="8.6640625" defaultRowHeight="14.25" x14ac:dyDescent="0.45"/>
  <cols>
    <col min="1" max="1" width="18" customWidth="1"/>
    <col min="2" max="2" width="30" customWidth="1"/>
    <col min="3" max="13" width="10" customWidth="1"/>
    <col min="14" max="14" width="20" customWidth="1"/>
    <col min="15" max="15" width="60" customWidth="1"/>
  </cols>
  <sheetData>
    <row r="1" spans="1:15" x14ac:dyDescent="0.45">
      <c r="A1" s="10" t="s">
        <v>638</v>
      </c>
    </row>
    <row r="3" spans="1:15" ht="39.4" x14ac:dyDescent="0.45">
      <c r="A3" s="3" t="s">
        <v>18</v>
      </c>
      <c r="B3" s="3" t="s">
        <v>639</v>
      </c>
      <c r="C3" s="3" t="s">
        <v>640</v>
      </c>
      <c r="D3" s="3" t="s">
        <v>641</v>
      </c>
      <c r="E3" s="3" t="s">
        <v>642</v>
      </c>
      <c r="F3" s="3" t="s">
        <v>643</v>
      </c>
      <c r="G3" s="3" t="s">
        <v>644</v>
      </c>
      <c r="H3" s="3" t="s">
        <v>174</v>
      </c>
      <c r="I3" s="3" t="s">
        <v>645</v>
      </c>
      <c r="J3" s="3" t="s">
        <v>646</v>
      </c>
      <c r="K3" s="3" t="s">
        <v>647</v>
      </c>
      <c r="L3" s="3" t="s">
        <v>648</v>
      </c>
      <c r="M3" s="3" t="s">
        <v>649</v>
      </c>
      <c r="N3" s="3" t="s">
        <v>650</v>
      </c>
      <c r="O3" s="3" t="s">
        <v>651</v>
      </c>
    </row>
    <row r="4" spans="1:15" ht="42.75" x14ac:dyDescent="0.45">
      <c r="A4" s="11" t="s">
        <v>30</v>
      </c>
      <c r="B4" s="11" t="s">
        <v>66</v>
      </c>
      <c r="C4" s="11" t="s">
        <v>652</v>
      </c>
      <c r="D4" s="12">
        <v>0.72</v>
      </c>
      <c r="E4" s="12">
        <v>0.72</v>
      </c>
      <c r="F4" s="12">
        <v>0.72</v>
      </c>
      <c r="G4" s="12">
        <v>0.55000000000000004</v>
      </c>
      <c r="H4" s="12">
        <v>0.55000000000000004</v>
      </c>
      <c r="I4" s="12">
        <v>0.55000000000000004</v>
      </c>
      <c r="J4" s="12">
        <v>0.55000000000000004</v>
      </c>
      <c r="K4" s="12">
        <v>0.55000000000000004</v>
      </c>
      <c r="L4" s="12">
        <v>0.55000000000000004</v>
      </c>
      <c r="M4" s="12">
        <v>0.72</v>
      </c>
      <c r="N4" s="11" t="s">
        <v>653</v>
      </c>
      <c r="O4" s="11" t="s">
        <v>654</v>
      </c>
    </row>
    <row r="5" spans="1:15" x14ac:dyDescent="0.45">
      <c r="A5" s="11" t="s">
        <v>30</v>
      </c>
      <c r="B5" s="11" t="s">
        <v>66</v>
      </c>
      <c r="C5" s="11" t="s">
        <v>34</v>
      </c>
      <c r="D5" s="12">
        <v>0.79</v>
      </c>
      <c r="E5" s="12">
        <v>0.79</v>
      </c>
      <c r="F5" s="12">
        <v>0.79</v>
      </c>
      <c r="G5" s="12">
        <v>0.65</v>
      </c>
      <c r="H5" s="12">
        <v>0.65</v>
      </c>
      <c r="I5" s="12">
        <v>0.65</v>
      </c>
      <c r="J5" s="12">
        <v>0.65</v>
      </c>
      <c r="K5" s="12">
        <v>0.65</v>
      </c>
      <c r="L5" s="12">
        <v>0.65</v>
      </c>
      <c r="M5" s="12">
        <v>0.79</v>
      </c>
      <c r="N5" s="11" t="s">
        <v>653</v>
      </c>
      <c r="O5" s="11" t="s">
        <v>655</v>
      </c>
    </row>
    <row r="6" spans="1:15" ht="42.75" x14ac:dyDescent="0.45">
      <c r="A6" s="11" t="s">
        <v>53</v>
      </c>
      <c r="B6" s="11" t="s">
        <v>66</v>
      </c>
      <c r="C6" s="11" t="s">
        <v>34</v>
      </c>
      <c r="D6" s="12">
        <v>0.79</v>
      </c>
      <c r="E6" s="12">
        <v>0.67</v>
      </c>
      <c r="F6" s="12">
        <v>0.56000000000000005</v>
      </c>
      <c r="G6" s="12">
        <v>0.67</v>
      </c>
      <c r="H6" s="12">
        <v>0.82</v>
      </c>
      <c r="I6" s="12">
        <v>0.66</v>
      </c>
      <c r="J6" s="12">
        <v>0.7</v>
      </c>
      <c r="K6" s="12">
        <v>0.65</v>
      </c>
      <c r="L6" s="12">
        <v>0.62</v>
      </c>
      <c r="M6" s="12">
        <v>0.73</v>
      </c>
      <c r="N6" s="11" t="s">
        <v>653</v>
      </c>
      <c r="O6" s="11" t="s">
        <v>656</v>
      </c>
    </row>
    <row r="7" spans="1:15" x14ac:dyDescent="0.45">
      <c r="A7" s="11" t="s">
        <v>48</v>
      </c>
      <c r="B7" s="11" t="s">
        <v>657</v>
      </c>
      <c r="C7" s="11" t="s">
        <v>652</v>
      </c>
      <c r="D7" s="12">
        <v>0.16</v>
      </c>
      <c r="E7" s="12">
        <v>0.16</v>
      </c>
      <c r="F7" s="12">
        <v>0.1</v>
      </c>
      <c r="G7" s="12">
        <v>0.1</v>
      </c>
      <c r="H7" s="12">
        <v>0.08</v>
      </c>
      <c r="I7" s="12">
        <v>0.1</v>
      </c>
      <c r="J7" s="12">
        <v>0.1</v>
      </c>
      <c r="K7" s="12">
        <v>0.1</v>
      </c>
      <c r="L7" s="12">
        <v>0.1</v>
      </c>
      <c r="M7" s="12">
        <v>0.1</v>
      </c>
      <c r="N7" s="11" t="s">
        <v>658</v>
      </c>
      <c r="O7" s="11" t="s">
        <v>659</v>
      </c>
    </row>
    <row r="8" spans="1:15" ht="28.5" x14ac:dyDescent="0.45">
      <c r="A8" s="11" t="s">
        <v>48</v>
      </c>
      <c r="B8" s="11" t="s">
        <v>657</v>
      </c>
      <c r="C8" s="11" t="s">
        <v>34</v>
      </c>
      <c r="D8" s="12">
        <v>0.65</v>
      </c>
      <c r="E8" s="12">
        <v>0.65</v>
      </c>
      <c r="F8" s="12">
        <v>0.44</v>
      </c>
      <c r="G8" s="12">
        <v>0.44</v>
      </c>
      <c r="H8" s="12">
        <v>0.52</v>
      </c>
      <c r="I8" s="12">
        <v>0.44</v>
      </c>
      <c r="J8" s="12">
        <v>0.44</v>
      </c>
      <c r="K8" s="12">
        <v>0.44</v>
      </c>
      <c r="L8" s="12">
        <v>0.44</v>
      </c>
      <c r="M8" s="12">
        <v>0.44</v>
      </c>
      <c r="N8" s="11" t="s">
        <v>658</v>
      </c>
      <c r="O8" s="11" t="s">
        <v>660</v>
      </c>
    </row>
    <row r="9" spans="1:15" ht="42.75" x14ac:dyDescent="0.45">
      <c r="A9" s="11" t="s">
        <v>92</v>
      </c>
      <c r="B9" s="11" t="s">
        <v>661</v>
      </c>
      <c r="C9" s="11" t="s">
        <v>34</v>
      </c>
      <c r="D9" s="12">
        <v>0.08</v>
      </c>
      <c r="E9" s="12">
        <v>0.03</v>
      </c>
      <c r="F9" s="12">
        <v>0.03</v>
      </c>
      <c r="G9" s="12">
        <v>0.02</v>
      </c>
      <c r="H9" s="12">
        <v>0.02</v>
      </c>
      <c r="I9" s="12">
        <v>0</v>
      </c>
      <c r="J9" s="12">
        <v>0.02</v>
      </c>
      <c r="K9" s="12">
        <v>0</v>
      </c>
      <c r="L9" s="12">
        <v>0.01</v>
      </c>
      <c r="M9" s="12">
        <v>0.02</v>
      </c>
      <c r="N9" s="11" t="s">
        <v>658</v>
      </c>
      <c r="O9" s="11" t="s">
        <v>662</v>
      </c>
    </row>
    <row r="10" spans="1:15" ht="28.5" x14ac:dyDescent="0.45">
      <c r="A10" s="11" t="s">
        <v>92</v>
      </c>
      <c r="B10" s="11" t="s">
        <v>663</v>
      </c>
      <c r="C10" s="11" t="s">
        <v>652</v>
      </c>
      <c r="D10" s="12">
        <v>0.1</v>
      </c>
      <c r="E10" s="12">
        <v>0.1</v>
      </c>
      <c r="F10" s="12">
        <v>0.1</v>
      </c>
      <c r="G10" s="12">
        <v>0</v>
      </c>
      <c r="H10" s="12">
        <v>0</v>
      </c>
      <c r="I10" s="12">
        <v>0</v>
      </c>
      <c r="J10" s="12">
        <v>0</v>
      </c>
      <c r="K10" s="12">
        <v>0</v>
      </c>
      <c r="L10" s="12">
        <v>0</v>
      </c>
      <c r="M10" s="12">
        <v>0.03</v>
      </c>
      <c r="N10" s="11" t="s">
        <v>658</v>
      </c>
      <c r="O10" s="11" t="s">
        <v>664</v>
      </c>
    </row>
    <row r="11" spans="1:15" ht="42.75" x14ac:dyDescent="0.45">
      <c r="A11" s="11" t="s">
        <v>92</v>
      </c>
      <c r="B11" s="11" t="s">
        <v>663</v>
      </c>
      <c r="C11" s="11" t="s">
        <v>34</v>
      </c>
      <c r="D11" s="12">
        <v>0.66</v>
      </c>
      <c r="E11" s="12">
        <v>0.46</v>
      </c>
      <c r="F11" s="12">
        <v>0.46</v>
      </c>
      <c r="G11" s="12">
        <v>0.31</v>
      </c>
      <c r="H11" s="12">
        <v>0.39</v>
      </c>
      <c r="I11" s="12">
        <v>0.04</v>
      </c>
      <c r="J11" s="12">
        <v>0.31</v>
      </c>
      <c r="K11" s="12">
        <v>0.06</v>
      </c>
      <c r="L11" s="12">
        <v>0.15</v>
      </c>
      <c r="M11" s="12">
        <v>0.32</v>
      </c>
      <c r="N11" s="11" t="s">
        <v>658</v>
      </c>
      <c r="O11" s="11" t="s">
        <v>665</v>
      </c>
    </row>
    <row r="12" spans="1:15" ht="42.75" x14ac:dyDescent="0.45">
      <c r="A12" s="11" t="s">
        <v>135</v>
      </c>
      <c r="B12" s="11" t="s">
        <v>666</v>
      </c>
      <c r="C12" s="11" t="s">
        <v>34</v>
      </c>
      <c r="D12" s="12">
        <v>0.8</v>
      </c>
      <c r="E12" s="12">
        <v>0.8</v>
      </c>
      <c r="F12" s="12">
        <v>0.8</v>
      </c>
      <c r="G12" s="12">
        <v>0.27</v>
      </c>
      <c r="H12" s="12">
        <v>0.34</v>
      </c>
      <c r="I12" s="12">
        <v>0.13</v>
      </c>
      <c r="J12" s="12">
        <v>0.27</v>
      </c>
      <c r="K12" s="12">
        <v>0.05</v>
      </c>
      <c r="L12" s="12">
        <v>0.14000000000000001</v>
      </c>
      <c r="M12" s="12">
        <v>0.4</v>
      </c>
      <c r="N12" s="11" t="s">
        <v>658</v>
      </c>
      <c r="O12" s="11" t="s">
        <v>667</v>
      </c>
    </row>
    <row r="13" spans="1:15" ht="28.5" x14ac:dyDescent="0.45">
      <c r="A13" s="11" t="s">
        <v>135</v>
      </c>
      <c r="B13" s="11" t="s">
        <v>663</v>
      </c>
      <c r="C13" s="11" t="s">
        <v>34</v>
      </c>
      <c r="D13" s="12">
        <v>0.66</v>
      </c>
      <c r="E13" s="12">
        <v>0.66</v>
      </c>
      <c r="F13" s="12">
        <v>0.66</v>
      </c>
      <c r="G13" s="12">
        <v>7.0000000000000007E-2</v>
      </c>
      <c r="H13" s="12">
        <v>0.09</v>
      </c>
      <c r="I13" s="12">
        <v>0.03</v>
      </c>
      <c r="J13" s="12">
        <v>7.0000000000000007E-2</v>
      </c>
      <c r="K13" s="12">
        <v>0.01</v>
      </c>
      <c r="L13" s="12">
        <v>0.03</v>
      </c>
      <c r="M13" s="12">
        <v>0.25</v>
      </c>
      <c r="N13" s="11" t="s">
        <v>658</v>
      </c>
      <c r="O13" s="11" t="s">
        <v>668</v>
      </c>
    </row>
    <row r="14" spans="1:15" x14ac:dyDescent="0.45">
      <c r="A14" s="11" t="s">
        <v>239</v>
      </c>
      <c r="B14" s="11" t="s">
        <v>669</v>
      </c>
      <c r="C14" s="11" t="s">
        <v>652</v>
      </c>
      <c r="D14" s="12">
        <v>0.15</v>
      </c>
      <c r="E14" s="12">
        <v>0.15</v>
      </c>
      <c r="F14" s="12">
        <v>0.15</v>
      </c>
      <c r="G14" s="12">
        <v>0.15</v>
      </c>
      <c r="H14" s="12">
        <v>0.15</v>
      </c>
      <c r="I14" s="12">
        <v>0.15</v>
      </c>
      <c r="J14" s="12">
        <v>0.15</v>
      </c>
      <c r="K14" s="12">
        <v>0.15</v>
      </c>
      <c r="L14" s="12">
        <v>0.15</v>
      </c>
      <c r="M14" s="12">
        <v>0.15</v>
      </c>
      <c r="N14" s="11" t="s">
        <v>658</v>
      </c>
      <c r="O14" s="11" t="s">
        <v>670</v>
      </c>
    </row>
    <row r="15" spans="1:15" x14ac:dyDescent="0.45">
      <c r="A15" s="11" t="s">
        <v>239</v>
      </c>
      <c r="B15" s="11" t="s">
        <v>669</v>
      </c>
      <c r="C15" s="11" t="s">
        <v>34</v>
      </c>
      <c r="D15" s="12">
        <v>0</v>
      </c>
      <c r="E15" s="12">
        <v>0</v>
      </c>
      <c r="F15" s="12">
        <v>0</v>
      </c>
      <c r="G15" s="12">
        <v>0</v>
      </c>
      <c r="H15" s="12">
        <v>0</v>
      </c>
      <c r="I15" s="12">
        <v>0</v>
      </c>
      <c r="J15" s="12">
        <v>0</v>
      </c>
      <c r="K15" s="12">
        <v>0</v>
      </c>
      <c r="L15" s="12">
        <v>0</v>
      </c>
      <c r="M15" s="12">
        <v>0</v>
      </c>
      <c r="N15" s="11" t="s">
        <v>658</v>
      </c>
      <c r="O15" s="11" t="s">
        <v>671</v>
      </c>
    </row>
    <row r="16" spans="1:15" ht="28.5" x14ac:dyDescent="0.45">
      <c r="A16" s="11" t="s">
        <v>239</v>
      </c>
      <c r="B16" s="11" t="s">
        <v>663</v>
      </c>
      <c r="C16" s="11" t="s">
        <v>652</v>
      </c>
      <c r="D16" s="12">
        <v>0.35</v>
      </c>
      <c r="E16" s="12">
        <v>0.35</v>
      </c>
      <c r="F16" s="12">
        <v>0.35</v>
      </c>
      <c r="G16" s="12">
        <v>0.35</v>
      </c>
      <c r="H16" s="12">
        <v>0.35</v>
      </c>
      <c r="I16" s="12">
        <v>0.35</v>
      </c>
      <c r="J16" s="12">
        <v>0.35</v>
      </c>
      <c r="K16" s="12">
        <v>0.35</v>
      </c>
      <c r="L16" s="12">
        <v>0.35</v>
      </c>
      <c r="M16" s="12">
        <v>0.35</v>
      </c>
      <c r="N16" s="11" t="s">
        <v>658</v>
      </c>
      <c r="O16" s="11" t="s">
        <v>672</v>
      </c>
    </row>
    <row r="17" spans="1:15" ht="28.5" x14ac:dyDescent="0.45">
      <c r="A17" s="11" t="s">
        <v>239</v>
      </c>
      <c r="B17" s="11" t="s">
        <v>663</v>
      </c>
      <c r="C17" s="11" t="s">
        <v>34</v>
      </c>
      <c r="D17" s="12">
        <v>0.65</v>
      </c>
      <c r="E17" s="12">
        <v>0.48</v>
      </c>
      <c r="F17" s="12">
        <v>0.48</v>
      </c>
      <c r="G17" s="12">
        <v>0.32</v>
      </c>
      <c r="H17" s="12">
        <v>0.4</v>
      </c>
      <c r="I17" s="12">
        <v>0.15</v>
      </c>
      <c r="J17" s="12">
        <v>0.32</v>
      </c>
      <c r="K17" s="12">
        <v>0.06</v>
      </c>
      <c r="L17" s="12">
        <v>0.16</v>
      </c>
      <c r="M17" s="12">
        <v>0.34</v>
      </c>
      <c r="N17" s="11" t="s">
        <v>658</v>
      </c>
      <c r="O17" s="11" t="s">
        <v>673</v>
      </c>
    </row>
    <row r="18" spans="1:15" ht="28.5" x14ac:dyDescent="0.45">
      <c r="A18" s="11" t="s">
        <v>674</v>
      </c>
      <c r="B18" s="11" t="s">
        <v>675</v>
      </c>
      <c r="C18" s="11" t="s">
        <v>676</v>
      </c>
      <c r="D18" s="12">
        <v>0.77</v>
      </c>
      <c r="E18" s="12">
        <v>0.77</v>
      </c>
      <c r="F18" s="12">
        <v>0.6</v>
      </c>
      <c r="G18" s="12">
        <v>0.6</v>
      </c>
      <c r="H18" s="12">
        <v>0.6</v>
      </c>
      <c r="I18" s="12">
        <v>0.6</v>
      </c>
      <c r="J18" s="12">
        <v>0.6</v>
      </c>
      <c r="K18" s="12">
        <v>0.6</v>
      </c>
      <c r="L18" s="12">
        <v>0.6</v>
      </c>
      <c r="M18" s="12">
        <v>0.6</v>
      </c>
      <c r="N18" s="11" t="s">
        <v>677</v>
      </c>
      <c r="O18" s="11" t="s">
        <v>678</v>
      </c>
    </row>
    <row r="19" spans="1:15" x14ac:dyDescent="0.45">
      <c r="A19" s="11"/>
      <c r="B19" s="11"/>
      <c r="C19" s="11"/>
      <c r="D19" s="11"/>
      <c r="E19" s="11"/>
      <c r="F19" s="11"/>
      <c r="G19" s="11"/>
      <c r="H19" s="11"/>
      <c r="I19" s="11"/>
      <c r="J19" s="11"/>
      <c r="K19" s="11"/>
      <c r="L19" s="11"/>
      <c r="M19" s="11"/>
      <c r="N19" s="11"/>
      <c r="O19" s="11"/>
    </row>
    <row r="20" spans="1:15" ht="127.5" x14ac:dyDescent="0.45">
      <c r="A20" s="2" t="s">
        <v>679</v>
      </c>
      <c r="B20" s="11"/>
      <c r="C20" s="11"/>
      <c r="D20" s="11"/>
      <c r="E20" s="11"/>
      <c r="F20" s="11"/>
      <c r="G20" s="11"/>
      <c r="H20" s="11"/>
      <c r="I20" s="11"/>
      <c r="J20" s="11"/>
      <c r="K20" s="11"/>
      <c r="L20" s="11"/>
      <c r="M20" s="11"/>
      <c r="N20" s="11"/>
      <c r="O20" s="11"/>
    </row>
    <row r="21" spans="1:15" ht="39.4" x14ac:dyDescent="0.45">
      <c r="A21" s="3" t="s">
        <v>18</v>
      </c>
      <c r="B21" s="3" t="s">
        <v>680</v>
      </c>
      <c r="C21" s="3" t="s">
        <v>640</v>
      </c>
      <c r="D21" s="3" t="s">
        <v>641</v>
      </c>
      <c r="E21" s="3" t="s">
        <v>642</v>
      </c>
      <c r="F21" s="3" t="s">
        <v>643</v>
      </c>
      <c r="G21" s="3" t="s">
        <v>644</v>
      </c>
      <c r="H21" s="3" t="s">
        <v>174</v>
      </c>
      <c r="I21" s="3" t="s">
        <v>645</v>
      </c>
      <c r="J21" s="3" t="s">
        <v>646</v>
      </c>
      <c r="K21" s="3" t="s">
        <v>647</v>
      </c>
      <c r="L21" s="3" t="s">
        <v>648</v>
      </c>
      <c r="M21" s="3" t="s">
        <v>649</v>
      </c>
      <c r="N21" s="3" t="s">
        <v>1</v>
      </c>
      <c r="O21" s="3"/>
    </row>
    <row r="22" spans="1:15" ht="28.5" x14ac:dyDescent="0.45">
      <c r="A22" s="11" t="s">
        <v>92</v>
      </c>
      <c r="B22" s="11" t="s">
        <v>681</v>
      </c>
      <c r="C22" s="11" t="s">
        <v>34</v>
      </c>
      <c r="D22" s="13">
        <f t="shared" ref="D22:M22" si="0">D9+(1-D9)*D11</f>
        <v>0.68720000000000003</v>
      </c>
      <c r="E22" s="13">
        <f t="shared" si="0"/>
        <v>0.47619999999999996</v>
      </c>
      <c r="F22" s="13">
        <f t="shared" si="0"/>
        <v>0.47619999999999996</v>
      </c>
      <c r="G22" s="13">
        <f t="shared" si="0"/>
        <v>0.32380000000000003</v>
      </c>
      <c r="H22" s="13">
        <f t="shared" si="0"/>
        <v>0.4022</v>
      </c>
      <c r="I22" s="13">
        <f t="shared" si="0"/>
        <v>0.04</v>
      </c>
      <c r="J22" s="13">
        <f t="shared" si="0"/>
        <v>0.32380000000000003</v>
      </c>
      <c r="K22" s="13">
        <f t="shared" si="0"/>
        <v>0.06</v>
      </c>
      <c r="L22" s="13">
        <f t="shared" si="0"/>
        <v>0.1585</v>
      </c>
      <c r="M22" s="13">
        <f t="shared" si="0"/>
        <v>0.33360000000000001</v>
      </c>
      <c r="N22" s="11" t="s">
        <v>682</v>
      </c>
      <c r="O22" s="11"/>
    </row>
    <row r="23" spans="1:15" ht="114" x14ac:dyDescent="0.45">
      <c r="A23" s="11" t="s">
        <v>92</v>
      </c>
      <c r="B23" s="11" t="s">
        <v>683</v>
      </c>
      <c r="C23" s="11" t="s">
        <v>34</v>
      </c>
      <c r="D23" s="13">
        <f t="shared" ref="D23:M23" si="1">IF(D22=0,0,D9/D22)</f>
        <v>0.11641443538998836</v>
      </c>
      <c r="E23" s="13">
        <f t="shared" si="1"/>
        <v>6.2998740025199493E-2</v>
      </c>
      <c r="F23" s="13">
        <f t="shared" si="1"/>
        <v>6.2998740025199493E-2</v>
      </c>
      <c r="G23" s="13">
        <f t="shared" si="1"/>
        <v>6.1766522544780725E-2</v>
      </c>
      <c r="H23" s="13">
        <f t="shared" si="1"/>
        <v>4.9726504226752857E-2</v>
      </c>
      <c r="I23" s="13">
        <f t="shared" si="1"/>
        <v>0</v>
      </c>
      <c r="J23" s="13">
        <f t="shared" si="1"/>
        <v>6.1766522544780725E-2</v>
      </c>
      <c r="K23" s="13">
        <f t="shared" si="1"/>
        <v>0</v>
      </c>
      <c r="L23" s="13">
        <f t="shared" si="1"/>
        <v>6.3091482649842268E-2</v>
      </c>
      <c r="M23" s="13">
        <f t="shared" si="1"/>
        <v>5.9952038369304558E-2</v>
      </c>
      <c r="N23" s="11" t="s">
        <v>684</v>
      </c>
      <c r="O23" s="11"/>
    </row>
    <row r="24" spans="1:15" ht="28.5" x14ac:dyDescent="0.45">
      <c r="A24" s="11" t="s">
        <v>135</v>
      </c>
      <c r="B24" s="11" t="s">
        <v>681</v>
      </c>
      <c r="C24" s="11" t="s">
        <v>34</v>
      </c>
      <c r="D24" s="13">
        <f t="shared" ref="D24:M24" si="2">D12+(1-D12)*D13</f>
        <v>0.93200000000000005</v>
      </c>
      <c r="E24" s="13">
        <f t="shared" si="2"/>
        <v>0.93200000000000005</v>
      </c>
      <c r="F24" s="13">
        <f t="shared" si="2"/>
        <v>0.93200000000000005</v>
      </c>
      <c r="G24" s="13">
        <f t="shared" si="2"/>
        <v>0.32110000000000005</v>
      </c>
      <c r="H24" s="13">
        <f t="shared" si="2"/>
        <v>0.39940000000000003</v>
      </c>
      <c r="I24" s="13">
        <f t="shared" si="2"/>
        <v>0.15610000000000002</v>
      </c>
      <c r="J24" s="13">
        <f t="shared" si="2"/>
        <v>0.32110000000000005</v>
      </c>
      <c r="K24" s="13">
        <f t="shared" si="2"/>
        <v>5.9500000000000004E-2</v>
      </c>
      <c r="L24" s="13">
        <f t="shared" si="2"/>
        <v>0.1658</v>
      </c>
      <c r="M24" s="13">
        <f t="shared" si="2"/>
        <v>0.55000000000000004</v>
      </c>
      <c r="N24" s="11" t="s">
        <v>682</v>
      </c>
      <c r="O24" s="11"/>
    </row>
    <row r="25" spans="1:15" ht="114" x14ac:dyDescent="0.45">
      <c r="A25" s="11" t="s">
        <v>135</v>
      </c>
      <c r="B25" s="11" t="s">
        <v>683</v>
      </c>
      <c r="C25" s="11" t="s">
        <v>34</v>
      </c>
      <c r="D25" s="13">
        <f t="shared" ref="D25:M25" si="3">IF(D24=0,0,D12/D24)</f>
        <v>0.85836909871244638</v>
      </c>
      <c r="E25" s="13">
        <f t="shared" si="3"/>
        <v>0.85836909871244638</v>
      </c>
      <c r="F25" s="13">
        <f t="shared" si="3"/>
        <v>0.85836909871244638</v>
      </c>
      <c r="G25" s="13">
        <f t="shared" si="3"/>
        <v>0.84085954531298657</v>
      </c>
      <c r="H25" s="13">
        <f t="shared" si="3"/>
        <v>0.85127691537305961</v>
      </c>
      <c r="I25" s="13">
        <f t="shared" si="3"/>
        <v>0.83279948750800759</v>
      </c>
      <c r="J25" s="13">
        <f t="shared" si="3"/>
        <v>0.84085954531298657</v>
      </c>
      <c r="K25" s="13">
        <f t="shared" si="3"/>
        <v>0.84033613445378152</v>
      </c>
      <c r="L25" s="13">
        <f t="shared" si="3"/>
        <v>0.84439083232810619</v>
      </c>
      <c r="M25" s="13">
        <f t="shared" si="3"/>
        <v>0.72727272727272729</v>
      </c>
      <c r="N25" s="11" t="s">
        <v>684</v>
      </c>
      <c r="O25" s="11"/>
    </row>
    <row r="26" spans="1:15" ht="28.5" x14ac:dyDescent="0.45">
      <c r="A26" s="11" t="s">
        <v>239</v>
      </c>
      <c r="B26" s="11" t="s">
        <v>681</v>
      </c>
      <c r="C26" s="11" t="s">
        <v>34</v>
      </c>
      <c r="D26" s="13">
        <f t="shared" ref="D26:M26" si="4">D15+(1-D15)*D17</f>
        <v>0.65</v>
      </c>
      <c r="E26" s="13">
        <f t="shared" si="4"/>
        <v>0.48</v>
      </c>
      <c r="F26" s="13">
        <f t="shared" si="4"/>
        <v>0.48</v>
      </c>
      <c r="G26" s="13">
        <f t="shared" si="4"/>
        <v>0.32</v>
      </c>
      <c r="H26" s="13">
        <f t="shared" si="4"/>
        <v>0.4</v>
      </c>
      <c r="I26" s="13">
        <f t="shared" si="4"/>
        <v>0.15</v>
      </c>
      <c r="J26" s="13">
        <f t="shared" si="4"/>
        <v>0.32</v>
      </c>
      <c r="K26" s="13">
        <f t="shared" si="4"/>
        <v>0.06</v>
      </c>
      <c r="L26" s="13">
        <f t="shared" si="4"/>
        <v>0.16</v>
      </c>
      <c r="M26" s="13">
        <f t="shared" si="4"/>
        <v>0.34</v>
      </c>
      <c r="N26" s="11" t="s">
        <v>682</v>
      </c>
      <c r="O26" s="11"/>
    </row>
    <row r="27" spans="1:15" ht="114" x14ac:dyDescent="0.45">
      <c r="A27" s="11" t="s">
        <v>239</v>
      </c>
      <c r="B27" s="11" t="s">
        <v>683</v>
      </c>
      <c r="C27" s="11" t="s">
        <v>34</v>
      </c>
      <c r="D27" s="13">
        <f t="shared" ref="D27:M27" si="5">IF(D26=0,0,D15/D26)</f>
        <v>0</v>
      </c>
      <c r="E27" s="13">
        <f t="shared" si="5"/>
        <v>0</v>
      </c>
      <c r="F27" s="13">
        <f t="shared" si="5"/>
        <v>0</v>
      </c>
      <c r="G27" s="13">
        <f t="shared" si="5"/>
        <v>0</v>
      </c>
      <c r="H27" s="13">
        <f t="shared" si="5"/>
        <v>0</v>
      </c>
      <c r="I27" s="13">
        <f t="shared" si="5"/>
        <v>0</v>
      </c>
      <c r="J27" s="13">
        <f t="shared" si="5"/>
        <v>0</v>
      </c>
      <c r="K27" s="13">
        <f t="shared" si="5"/>
        <v>0</v>
      </c>
      <c r="L27" s="13">
        <f t="shared" si="5"/>
        <v>0</v>
      </c>
      <c r="M27" s="13">
        <f t="shared" si="5"/>
        <v>0</v>
      </c>
      <c r="N27" s="11" t="s">
        <v>684</v>
      </c>
      <c r="O27" s="11"/>
    </row>
    <row r="28" spans="1:15" x14ac:dyDescent="0.45">
      <c r="A28" s="11"/>
      <c r="B28" s="11"/>
      <c r="C28" s="11"/>
      <c r="D28" s="11"/>
      <c r="E28" s="11"/>
      <c r="F28" s="11"/>
      <c r="G28" s="11"/>
      <c r="H28" s="11"/>
      <c r="I28" s="11"/>
      <c r="J28" s="11"/>
      <c r="K28" s="11"/>
      <c r="L28" s="11"/>
      <c r="M28" s="11"/>
      <c r="N28" s="11"/>
      <c r="O28" s="11"/>
    </row>
    <row r="29" spans="1:15" ht="38.25" x14ac:dyDescent="0.45">
      <c r="A29" s="2" t="s">
        <v>685</v>
      </c>
      <c r="B29" s="11"/>
      <c r="C29" s="11"/>
      <c r="D29" s="11"/>
      <c r="E29" s="11"/>
      <c r="F29" s="11"/>
      <c r="G29" s="11"/>
      <c r="H29" s="11"/>
      <c r="I29" s="11"/>
      <c r="J29" s="11"/>
      <c r="K29" s="11"/>
      <c r="L29" s="11"/>
      <c r="M29" s="11"/>
      <c r="N29" s="11"/>
      <c r="O29" s="11"/>
    </row>
    <row r="30" spans="1:15" x14ac:dyDescent="0.45">
      <c r="A30" s="11" t="s">
        <v>686</v>
      </c>
      <c r="B30" s="11" t="s">
        <v>687</v>
      </c>
      <c r="C30" s="11" t="s">
        <v>688</v>
      </c>
      <c r="D30" s="11"/>
      <c r="E30" s="11"/>
      <c r="F30" s="11"/>
      <c r="G30" s="11"/>
      <c r="H30" s="11"/>
      <c r="I30" s="11"/>
      <c r="J30" s="11"/>
      <c r="K30" s="11"/>
      <c r="L30" s="11"/>
      <c r="M30" s="11"/>
      <c r="N30" s="11"/>
      <c r="O30" s="11"/>
    </row>
    <row r="31" spans="1:15" ht="99.75" x14ac:dyDescent="0.45">
      <c r="A31" s="11" t="s">
        <v>641</v>
      </c>
      <c r="B31" s="11" t="s">
        <v>689</v>
      </c>
      <c r="C31" s="11" t="s">
        <v>690</v>
      </c>
      <c r="D31" s="11"/>
      <c r="E31" s="11"/>
      <c r="F31" s="11"/>
      <c r="G31" s="11"/>
      <c r="H31" s="11"/>
      <c r="I31" s="11"/>
      <c r="J31" s="11"/>
      <c r="K31" s="11"/>
      <c r="L31" s="11"/>
      <c r="M31" s="11"/>
      <c r="N31" s="11"/>
      <c r="O31" s="11"/>
    </row>
    <row r="32" spans="1:15" ht="85.5" x14ac:dyDescent="0.45">
      <c r="A32" s="11" t="s">
        <v>642</v>
      </c>
      <c r="B32" s="11" t="s">
        <v>691</v>
      </c>
      <c r="C32" s="11" t="s">
        <v>692</v>
      </c>
      <c r="D32" s="11"/>
      <c r="E32" s="11"/>
      <c r="F32" s="11"/>
      <c r="G32" s="11"/>
      <c r="H32" s="11"/>
      <c r="I32" s="11"/>
      <c r="J32" s="11"/>
      <c r="K32" s="11"/>
      <c r="L32" s="11"/>
      <c r="M32" s="11"/>
      <c r="N32" s="11"/>
      <c r="O32" s="11"/>
    </row>
    <row r="33" spans="1:15" ht="57" x14ac:dyDescent="0.45">
      <c r="A33" s="11" t="s">
        <v>643</v>
      </c>
      <c r="B33" s="11" t="s">
        <v>33</v>
      </c>
      <c r="C33" s="11" t="s">
        <v>693</v>
      </c>
      <c r="D33" s="11"/>
      <c r="E33" s="11"/>
      <c r="F33" s="11"/>
      <c r="G33" s="11"/>
      <c r="H33" s="11"/>
      <c r="I33" s="11"/>
      <c r="J33" s="11"/>
      <c r="K33" s="11"/>
      <c r="L33" s="11"/>
      <c r="M33" s="11"/>
      <c r="N33" s="11"/>
      <c r="O33" s="11"/>
    </row>
    <row r="34" spans="1:15" ht="156.75" x14ac:dyDescent="0.45">
      <c r="A34" s="11" t="s">
        <v>644</v>
      </c>
      <c r="B34" s="11" t="s">
        <v>694</v>
      </c>
      <c r="C34" s="11" t="s">
        <v>695</v>
      </c>
      <c r="D34" s="11"/>
      <c r="E34" s="11"/>
      <c r="F34" s="11"/>
      <c r="G34" s="11"/>
      <c r="H34" s="11"/>
      <c r="I34" s="11"/>
      <c r="J34" s="11"/>
      <c r="K34" s="11"/>
      <c r="L34" s="11"/>
      <c r="M34" s="11"/>
      <c r="N34" s="11"/>
      <c r="O34" s="11"/>
    </row>
    <row r="35" spans="1:15" x14ac:dyDescent="0.45">
      <c r="A35" s="11" t="s">
        <v>174</v>
      </c>
      <c r="B35" s="11" t="s">
        <v>175</v>
      </c>
      <c r="C35" s="11"/>
      <c r="D35" s="11"/>
      <c r="E35" s="11"/>
      <c r="F35" s="11"/>
      <c r="G35" s="11"/>
      <c r="H35" s="11"/>
      <c r="I35" s="11"/>
      <c r="J35" s="11"/>
      <c r="K35" s="11"/>
      <c r="L35" s="11"/>
      <c r="M35" s="11"/>
      <c r="N35" s="11"/>
      <c r="O35" s="11"/>
    </row>
    <row r="36" spans="1:15" x14ac:dyDescent="0.45">
      <c r="A36" s="11" t="s">
        <v>645</v>
      </c>
      <c r="B36" s="11" t="s">
        <v>481</v>
      </c>
      <c r="C36" s="11"/>
      <c r="D36" s="11"/>
      <c r="E36" s="11"/>
      <c r="F36" s="11"/>
      <c r="G36" s="11"/>
      <c r="H36" s="11"/>
      <c r="I36" s="11"/>
      <c r="J36" s="11"/>
      <c r="K36" s="11"/>
      <c r="L36" s="11"/>
      <c r="M36" s="11"/>
      <c r="N36" s="11"/>
      <c r="O36" s="11"/>
    </row>
    <row r="37" spans="1:15" ht="114" x14ac:dyDescent="0.45">
      <c r="A37" s="11" t="s">
        <v>646</v>
      </c>
      <c r="B37" s="11" t="s">
        <v>696</v>
      </c>
      <c r="C37" s="11" t="s">
        <v>697</v>
      </c>
      <c r="D37" s="11"/>
      <c r="E37" s="11"/>
      <c r="F37" s="11"/>
      <c r="G37" s="11"/>
      <c r="H37" s="11"/>
      <c r="I37" s="11"/>
      <c r="J37" s="11"/>
      <c r="K37" s="11"/>
      <c r="L37" s="11"/>
      <c r="M37" s="11"/>
      <c r="N37" s="11"/>
      <c r="O37" s="11"/>
    </row>
    <row r="38" spans="1:15" x14ac:dyDescent="0.45">
      <c r="A38" s="11" t="s">
        <v>647</v>
      </c>
      <c r="B38" s="11" t="s">
        <v>167</v>
      </c>
      <c r="C38" s="11"/>
      <c r="D38" s="11"/>
      <c r="E38" s="11"/>
      <c r="F38" s="11"/>
      <c r="G38" s="11"/>
      <c r="H38" s="11"/>
      <c r="I38" s="11"/>
      <c r="J38" s="11"/>
      <c r="K38" s="11"/>
      <c r="L38" s="11"/>
      <c r="M38" s="11"/>
      <c r="N38" s="11"/>
      <c r="O38" s="11"/>
    </row>
    <row r="39" spans="1:15" x14ac:dyDescent="0.45">
      <c r="A39" s="11" t="s">
        <v>648</v>
      </c>
      <c r="B39" s="11" t="s">
        <v>227</v>
      </c>
      <c r="C39" s="11"/>
      <c r="D39" s="11"/>
      <c r="E39" s="11"/>
      <c r="F39" s="11"/>
      <c r="G39" s="11"/>
      <c r="H39" s="11"/>
      <c r="I39" s="11"/>
      <c r="J39" s="11"/>
      <c r="K39" s="11"/>
      <c r="L39" s="11"/>
      <c r="M39" s="11"/>
      <c r="N39" s="11"/>
      <c r="O39" s="11"/>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Analysis_Recycling</vt:lpstr>
      <vt:lpstr>Data</vt:lpstr>
      <vt:lpstr>Sources</vt:lpstr>
      <vt:lpstr>Analysis_MaxSec</vt:lpstr>
      <vt:lpstr>Max_secondary_content</vt:lpstr>
      <vt:lpstr>MISO2_method</vt:lpstr>
      <vt:lpstr>Regional_rates_W2021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Pablo Busch</cp:lastModifiedBy>
  <cp:revision>0</cp:revision>
  <dcterms:created xsi:type="dcterms:W3CDTF">2026-10-02T13:31:49Z</dcterms:created>
  <dcterms:modified xsi:type="dcterms:W3CDTF">2026-10-23T18:58:56Z</dcterms:modified>
  <dc:language>en-US</dc:language>
</cp:coreProperties>
</file>