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ablo\Programming\R\R Stanford\material-intensity\Inputs\"/>
    </mc:Choice>
  </mc:AlternateContent>
  <xr:revisionPtr revIDLastSave="0" documentId="13_ncr:1_{CFD7CC74-A22C-40C3-9C28-34F97152C59D}" xr6:coauthVersionLast="47" xr6:coauthVersionMax="47" xr10:uidLastSave="{00000000-0000-0000-0000-000000000000}"/>
  <bookViews>
    <workbookView xWindow="-110" yWindow="-110" windowWidth="38620" windowHeight="21100" xr2:uid="{AF5D8695-DCD7-4EF8-857C-540915362BCA}"/>
  </bookViews>
  <sheets>
    <sheet name="Table_Materials" sheetId="4" r:id="rId1"/>
    <sheet name="Materials" sheetId="1" r:id="rId2"/>
    <sheet name="Categories" sheetId="2" r:id="rId3"/>
  </sheets>
  <definedNames>
    <definedName name="_xlnm._FilterDatabase" localSheetId="1" hidden="1">Materials!$A$1:$J$62</definedName>
    <definedName name="_xlcn.WorksheetConnection_Dict_Materials.xlsxTable1" hidden="1">Table1[]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Dict_Material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833F28-D254-483F-B75B-00275E717EF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64489CF-112D-4DFE-B691-0F2C26F97C1A}" name="WorksheetConnection_Dict_Materials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Dict_Materials.xlsxTable1"/>
        </x15:connection>
      </ext>
    </extLst>
  </connection>
</connections>
</file>

<file path=xl/sharedStrings.xml><?xml version="1.0" encoding="utf-8"?>
<sst xmlns="http://schemas.openxmlformats.org/spreadsheetml/2006/main" count="786" uniqueCount="261">
  <si>
    <t>Category_22</t>
  </si>
  <si>
    <t>Material_78</t>
  </si>
  <si>
    <t>Circularity_class</t>
  </si>
  <si>
    <t>Circularity_subclass</t>
  </si>
  <si>
    <t>End_use</t>
  </si>
  <si>
    <t>Stock_forming</t>
  </si>
  <si>
    <t>Notes</t>
  </si>
  <si>
    <t>Coal</t>
  </si>
  <si>
    <t>Anthracite</t>
  </si>
  <si>
    <t>Non-recyclable</t>
  </si>
  <si>
    <t>Dissipative</t>
  </si>
  <si>
    <t>Energy</t>
  </si>
  <si>
    <t>No</t>
  </si>
  <si>
    <t>Combusted; no recovery possible</t>
  </si>
  <si>
    <t>Coking Coal</t>
  </si>
  <si>
    <t>Materials - steel</t>
  </si>
  <si>
    <t>Consumed in steel production as reductant</t>
  </si>
  <si>
    <t>Lignite (brown coal)</t>
  </si>
  <si>
    <t>Low-grade fuel; combusted</t>
  </si>
  <si>
    <t>Other Bituminous Coal</t>
  </si>
  <si>
    <t>Combusted</t>
  </si>
  <si>
    <t>Other Sub-Bituminous Coal</t>
  </si>
  <si>
    <t>Peat</t>
  </si>
  <si>
    <t>Crop Residues</t>
  </si>
  <si>
    <t>Other crop residues</t>
  </si>
  <si>
    <t>Agriculture / biomass</t>
  </si>
  <si>
    <t>Returned to soil or combusted</t>
  </si>
  <si>
    <t>Straw</t>
  </si>
  <si>
    <t>Some biogas/board use but negligible at global scale</t>
  </si>
  <si>
    <t>Crops</t>
  </si>
  <si>
    <t>Cereals n.e.c.</t>
  </si>
  <si>
    <t>Food / feed</t>
  </si>
  <si>
    <t>Consumed</t>
  </si>
  <si>
    <t>Fibres</t>
  </si>
  <si>
    <t>Partially recyclable</t>
  </si>
  <si>
    <t>Downcyclable</t>
  </si>
  <si>
    <t>Materials - textiles</t>
  </si>
  <si>
    <t>Recycled fibre losing quality; mostly waste</t>
  </si>
  <si>
    <t>Fruits</t>
  </si>
  <si>
    <t>Food</t>
  </si>
  <si>
    <t>Nuts</t>
  </si>
  <si>
    <t>Oil bearing crops</t>
  </si>
  <si>
    <t>Food / biofuel</t>
  </si>
  <si>
    <t>Other crops n.e.c.</t>
  </si>
  <si>
    <t>Pulses</t>
  </si>
  <si>
    <t>Rice</t>
  </si>
  <si>
    <t>Roots and tubers</t>
  </si>
  <si>
    <t>Spice-beverage-pharma crops</t>
  </si>
  <si>
    <t>Food / pharma</t>
  </si>
  <si>
    <t>Sugar crops</t>
  </si>
  <si>
    <t>Food / energy</t>
  </si>
  <si>
    <t>Tobacco</t>
  </si>
  <si>
    <t>Consumer goods</t>
  </si>
  <si>
    <t>Vegetables</t>
  </si>
  <si>
    <t>Wheat</t>
  </si>
  <si>
    <t>Ferrous ores</t>
  </si>
  <si>
    <t>Iron ores</t>
  </si>
  <si>
    <t>Recyclable</t>
  </si>
  <si>
    <t>Truly recyclable</t>
  </si>
  <si>
    <t>Materials - steel / infrastructure</t>
  </si>
  <si>
    <t>Yes</t>
  </si>
  <si>
    <t>Steel ~85% EoL recycling rate theoretically achievable; scrap quality degrades with tramp metals</t>
  </si>
  <si>
    <t>Grazed biomass</t>
  </si>
  <si>
    <t>Consumed by livestock</t>
  </si>
  <si>
    <t>Natural Gas</t>
  </si>
  <si>
    <t>Natural gas</t>
  </si>
  <si>
    <t>Energy / feedstock</t>
  </si>
  <si>
    <t>Combusted or dissipated as chemical feedstock</t>
  </si>
  <si>
    <t>Non-ferrous ores</t>
  </si>
  <si>
    <t>Bauxite / aluminium ores</t>
  </si>
  <si>
    <t>Materials - transport / construction</t>
  </si>
  <si>
    <t>Infinitely recyclable without quality loss; ~75% collected globally but only ~45% EoL rate</t>
  </si>
  <si>
    <t>Chromium ores</t>
  </si>
  <si>
    <t>Materials - stainless steel</t>
  </si>
  <si>
    <t>Recovered within steel scrap streams; difficult to separate from mixed scrap</t>
  </si>
  <si>
    <t>Copper ores</t>
  </si>
  <si>
    <t>Materials - electrical / infrastructure</t>
  </si>
  <si>
    <t>~45% EoL recycling rate; critical for energy transition; losses in dispersive uses</t>
  </si>
  <si>
    <t>Gold ores</t>
  </si>
  <si>
    <t>Materials - electronics / jewellery</t>
  </si>
  <si>
    <t>High value drives recovery; ~90% above-ground stock eventually recycled</t>
  </si>
  <si>
    <t>Lead ores</t>
  </si>
  <si>
    <t>Materials - batteries</t>
  </si>
  <si>
    <t>~99% recycling rate for automotive batteries; other uses much lower</t>
  </si>
  <si>
    <t>Manganese ores</t>
  </si>
  <si>
    <t>Materials - steel alloy</t>
  </si>
  <si>
    <t>Recovered within steel scrap; difficult to separately account</t>
  </si>
  <si>
    <t>Nickel ores</t>
  </si>
  <si>
    <t>Materials - stainless / batteries</t>
  </si>
  <si>
    <t>Growing EV battery demand; ~68% EoL recycling from stainless</t>
  </si>
  <si>
    <t>Other metal ores nec.</t>
  </si>
  <si>
    <t>Materials - various</t>
  </si>
  <si>
    <t>Variable by sub-material</t>
  </si>
  <si>
    <t>Platinum group metals</t>
  </si>
  <si>
    <t>Materials - catalysts / electronics</t>
  </si>
  <si>
    <t>~70% recycled from automotive catalysts; electronics losses high</t>
  </si>
  <si>
    <t>Silver ores</t>
  </si>
  <si>
    <t>Materials - electronics / solar</t>
  </si>
  <si>
    <t>Partial recovery; high losses in thin-film solar and electronics</t>
  </si>
  <si>
    <t>Tin ores</t>
  </si>
  <si>
    <t>Materials - packaging / solder</t>
  </si>
  <si>
    <t>Low EoL rate from dispersive solder uses; some packaging recovery</t>
  </si>
  <si>
    <t>Titanium ores</t>
  </si>
  <si>
    <t>Materials - aerospace / pigments</t>
  </si>
  <si>
    <t>Aerospace titanium recycled; TiO2 pigment uses fully dissipative</t>
  </si>
  <si>
    <t>Uranium ores</t>
  </si>
  <si>
    <t>Energy - nuclear</t>
  </si>
  <si>
    <t>Fissioned; spent fuel storage; not circular at present</t>
  </si>
  <si>
    <t>Zinc ores</t>
  </si>
  <si>
    <t>Materials - galvanizing / construction</t>
  </si>
  <si>
    <t>~30% EoL recycling; large losses in galvanizing (zinc dissipates to environment)</t>
  </si>
  <si>
    <t>NMM - construction</t>
  </si>
  <si>
    <t>Chalk</t>
  </si>
  <si>
    <t>Construction</t>
  </si>
  <si>
    <t>Mostly used as fill or cement additive; downcycled</t>
  </si>
  <si>
    <t>Dolomite</t>
  </si>
  <si>
    <t>Construction / industrial</t>
  </si>
  <si>
    <t>Mostly downcycled as aggregate or fill</t>
  </si>
  <si>
    <t>Gypsum</t>
  </si>
  <si>
    <t>Construction - drywall</t>
  </si>
  <si>
    <t>Recycled drywall possible but contamination limits to ~30% in practice</t>
  </si>
  <si>
    <t>Limestone</t>
  </si>
  <si>
    <t>Construction / cement</t>
  </si>
  <si>
    <t>Aggregate downcycled; cement chemically transformed - not recyclable</t>
  </si>
  <si>
    <t>Ornamental / building stone</t>
  </si>
  <si>
    <t>Reuse possible; mostly crushed and downcycled</t>
  </si>
  <si>
    <t>Sand gravel crushed rock</t>
  </si>
  <si>
    <t>Concrete crushed to recycled aggregate; quality loss; not truly circular</t>
  </si>
  <si>
    <t>Structural clays (bricks)</t>
  </si>
  <si>
    <t>Brick reuse possible; mostly landfilled or crushed</t>
  </si>
  <si>
    <t>NMM - industrial</t>
  </si>
  <si>
    <t>Chemical minerals n.e.c.</t>
  </si>
  <si>
    <t>Industrial process</t>
  </si>
  <si>
    <t>Dissipative use in chemical processes</t>
  </si>
  <si>
    <t>Fertilizer minerals n.e.c.</t>
  </si>
  <si>
    <t>Agriculture</t>
  </si>
  <si>
    <t>Dissipated to soil and water; nutrient recovery (P) technically possible but not standard</t>
  </si>
  <si>
    <t>Industrial minerals n.e.c.</t>
  </si>
  <si>
    <t>Mostly dissipative</t>
  </si>
  <si>
    <t>Industrial sand and gravel</t>
  </si>
  <si>
    <t>Dissipative (glass, foundry, fracking); not recoverable</t>
  </si>
  <si>
    <t>Other non-metallic minerals n.e.c.</t>
  </si>
  <si>
    <t>Various</t>
  </si>
  <si>
    <t>Variable; assume dissipative at aggregate level</t>
  </si>
  <si>
    <t>Salt</t>
  </si>
  <si>
    <t>Chemical / food</t>
  </si>
  <si>
    <t>Dissipated in use</t>
  </si>
  <si>
    <t>Specialty clays</t>
  </si>
  <si>
    <t>Dissipative (ceramics, paper coatings)</t>
  </si>
  <si>
    <t>Oil shale / tar sands</t>
  </si>
  <si>
    <t>Oil shale and tar sands</t>
  </si>
  <si>
    <t>Combusted after processing</t>
  </si>
  <si>
    <t>Petroleum</t>
  </si>
  <si>
    <t>Crude oil</t>
  </si>
  <si>
    <t>Mostly combusted; fraction retained in plastics stocks</t>
  </si>
  <si>
    <t>Natural gas liquids</t>
  </si>
  <si>
    <t>Energy / chemicals</t>
  </si>
  <si>
    <t>Combusted or chemical feedstock</t>
  </si>
  <si>
    <t>Wild catch</t>
  </si>
  <si>
    <t>All other aquatic animals</t>
  </si>
  <si>
    <t>Aquatic plants</t>
  </si>
  <si>
    <t>Food / industry</t>
  </si>
  <si>
    <t>Wild fish catch</t>
  </si>
  <si>
    <t>Wood</t>
  </si>
  <si>
    <t>Timber (industrial roundwood)</t>
  </si>
  <si>
    <t>Construction / materials</t>
  </si>
  <si>
    <t>Timber reuse possible; paper downcycled; quality degrades each cycle; biogenic carbon stock</t>
  </si>
  <si>
    <t>Wood fuel and other extraction</t>
  </si>
  <si>
    <t>Renewal_mechanism</t>
  </si>
  <si>
    <t>Renewal_timescale</t>
  </si>
  <si>
    <t>None</t>
  </si>
  <si>
    <t>—</t>
  </si>
  <si>
    <t>Partial biogeochemical</t>
  </si>
  <si>
    <t>Centuries (not functional)</t>
  </si>
  <si>
    <t>Biogeochemical</t>
  </si>
  <si>
    <t>Annual</t>
  </si>
  <si>
    <t>Industrial recycling</t>
  </si>
  <si>
    <t>N/A</t>
  </si>
  <si>
    <t>Industrial recycling — constituent</t>
  </si>
  <si>
    <t>Industrial recycling — partial</t>
  </si>
  <si>
    <t>Downcycling</t>
  </si>
  <si>
    <t>Biogeochemical — slow</t>
  </si>
  <si>
    <t>Geological (non-functional)</t>
  </si>
  <si>
    <t>Annual–decadal</t>
  </si>
  <si>
    <t>Decadal (10–80 years)</t>
  </si>
  <si>
    <t>Decadal</t>
  </si>
  <si>
    <t>Material_22</t>
  </si>
  <si>
    <t>Material_group</t>
  </si>
  <si>
    <t>Material_subgroup</t>
  </si>
  <si>
    <t>Fossil fuels - solid</t>
  </si>
  <si>
    <t>Combusted; includes coking coal used as reductant in steel</t>
  </si>
  <si>
    <t>Fossil fuels - gaseous</t>
  </si>
  <si>
    <t>Fossil fuels - liquid</t>
  </si>
  <si>
    <t>Fossil fuels - unconventional</t>
  </si>
  <si>
    <t>Combusted after processing; high extraction footprint</t>
  </si>
  <si>
    <t>Refined fossil fuels mainly for fuel e.g. LPG gasoline diesel</t>
  </si>
  <si>
    <t>Fossil fuels - refined</t>
  </si>
  <si>
    <t>Processed downstream products; combusted</t>
  </si>
  <si>
    <t>Other products mainly from fossil fuels e.g. plastics</t>
  </si>
  <si>
    <t>Fossil fuels - materials</t>
  </si>
  <si>
    <t>Fraction retained in material stocks (plastics); some mechanical recycling but quality degrades</t>
  </si>
  <si>
    <t>Biomass</t>
  </si>
  <si>
    <t>Food and feed crops</t>
  </si>
  <si>
    <t>Consumed; renewed annually by photosynthesis</t>
  </si>
  <si>
    <t>Agricultural residues</t>
  </si>
  <si>
    <t>Returned to soil or combusted; some biogas use negligible at global scale</t>
  </si>
  <si>
    <t>Grazed biomass and fodder crops</t>
  </si>
  <si>
    <t>Livestock feed</t>
  </si>
  <si>
    <t>Consumed by livestock; renewed annually</t>
  </si>
  <si>
    <t>Wild catch and harvest</t>
  </si>
  <si>
    <t>Aquatic biomass</t>
  </si>
  <si>
    <t>Consumed; renewable if harvest below regeneration rate</t>
  </si>
  <si>
    <t>Forestry</t>
  </si>
  <si>
    <t>Timber reuse and paper downcycling possible; quality degrades; biogenic carbon stock; renewed on decadal timescale</t>
  </si>
  <si>
    <t>Non-wild animal products</t>
  </si>
  <si>
    <t>Terrestrial animal products</t>
  </si>
  <si>
    <t>Consumed; includes dairy meat eggs hides; renewed annually</t>
  </si>
  <si>
    <t>Products mainly from biomass nec.</t>
  </si>
  <si>
    <t>Processed biomass</t>
  </si>
  <si>
    <t>Includes textiles paper board; some recycling but downcycling dominant</t>
  </si>
  <si>
    <t>Ferrous metals</t>
  </si>
  <si>
    <t>Iron and steel; highest recycling rate of any structural material (~85% EoL rate achievable); truly recyclable</t>
  </si>
  <si>
    <t>Non-ferrous metals</t>
  </si>
  <si>
    <t>Includes copper aluminium nickel zinc lead; variable EoL rates; aluminium and copper highest; critical for energy transition</t>
  </si>
  <si>
    <t>Products mainly from metals nec.</t>
  </si>
  <si>
    <t>Processed metals</t>
  </si>
  <si>
    <t>Downstream metal products; recyclable at EoL via scrap streams</t>
  </si>
  <si>
    <t>Non-metallic minerals - construction dominant</t>
  </si>
  <si>
    <t>Construction minerals</t>
  </si>
  <si>
    <t>Sand gravel limestone gypsum structural clays; concrete crushed to aggregate (quality loss); not truly circular</t>
  </si>
  <si>
    <t>Non-metallic minerals - industrial or agricultural dominant</t>
  </si>
  <si>
    <t>Industrial minerals</t>
  </si>
  <si>
    <t>Fertilizer minerals chemical minerals industrial sand; mostly dissipative; phosphorus recovery technically possible but marginal</t>
  </si>
  <si>
    <t>Products mainly from non-metallic minerals</t>
  </si>
  <si>
    <t>Processed minerals</t>
  </si>
  <si>
    <t>Includes glass ceramics cement products; glass truly recyclable; cement not; assign downcyclable as aggregate</t>
  </si>
  <si>
    <t>Mixed / complex products nec.</t>
  </si>
  <si>
    <t>Mixed</t>
  </si>
  <si>
    <t>Complex manufactured goods</t>
  </si>
  <si>
    <t>Heterogeneous category; includes electronics appliances vehicles; recyclability varies widely by product type</t>
  </si>
  <si>
    <t>Waste for final treatment and disposal</t>
  </si>
  <si>
    <t>Waste</t>
  </si>
  <si>
    <t>Waste flows</t>
  </si>
  <si>
    <t>Secondary material recovery possible from waste streams; fraction depends on collection and sorting infrastructure</t>
  </si>
  <si>
    <t>Fossil fuels</t>
  </si>
  <si>
    <t>Metal ores</t>
  </si>
  <si>
    <t>Non-metallic minerals</t>
  </si>
  <si>
    <t>Category_4</t>
  </si>
  <si>
    <t>MatLevel3</t>
  </si>
  <si>
    <t>Total</t>
  </si>
  <si>
    <t>Other crop residues,Straw</t>
  </si>
  <si>
    <t>All other aquatic animals,Aquatic plants,Wild fish catch</t>
  </si>
  <si>
    <t>Anthracite,Coking Coal,Lignite (brown coal),Other Bituminous Coal,Other Sub-Bituminous Coal,Peat</t>
  </si>
  <si>
    <t>Crude oil,Natural gas liquids</t>
  </si>
  <si>
    <t>Chalk,Dolomite,Gypsum,Limestone,Ornamental / building stone,Sand gravel crushed rock,Structural clays (bricks)</t>
  </si>
  <si>
    <t>Chemical minerals n.e.c.,Fertilizer minerals n.e.c.,Industrial minerals n.e.c.,Industrial sand and gravel,Other non-metallic minerals n.e.c.,Salt,Specialty clays</t>
  </si>
  <si>
    <t>Material Group</t>
  </si>
  <si>
    <t>Material Category</t>
  </si>
  <si>
    <t>Cereals n.e.c.,Fruits,Nuts,Oil bearing crops,Other crops n.e.c.,Pulses,Rice,Roots and tubers,Spice-beverage-pharma crops,Sugar crops,Tobacco,Vegetables,Wheat</t>
  </si>
  <si>
    <t>Tin ores,Zinc ores</t>
  </si>
  <si>
    <t>Bauxite / aluminium ores,Chromium ores,Copper ores,Gold ores,Lead ores,Manganese ores,Nickel ores,Other metal ores nec.,Platinum group metals,Silver ores,Titanium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</si>
</sst>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164" fontId="0" fillId="0" borderId="0" xfId="0" applyNumberFormat="1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pivotButton="1" applyAlignment="1">
      <alignment horizontal="center" wrapText="1"/>
    </xf>
  </cellXfs>
  <cellStyles count="1">
    <cellStyle name="Normal" xfId="0" builtinId="0"/>
  </cellStyles>
  <dxfs count="12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Busch" refreshedDate="46148.439356134259" backgroundQuery="1" createdVersion="8" refreshedVersion="8" minRefreshableVersion="3" recordCount="0" supportSubquery="1" supportAdvancedDrill="1" xr:uid="{6AF2523A-44C0-4496-800E-A10D7EFC9B20}">
  <cacheSource type="external" connectionId="1"/>
  <cacheFields count="4">
    <cacheField name="[Table1].[Category_4].[Category_4]" caption="Category_4" numFmtId="0" level="1">
      <sharedItems count="4">
        <s v="Biomass"/>
        <s v="Fossil fuels"/>
        <s v="Metal ores"/>
        <s v="Non-metallic minerals"/>
      </sharedItems>
      <extLst>
        <ext xmlns:x15="http://schemas.microsoft.com/office/spreadsheetml/2010/11/main" uri="{4F2E5C28-24EA-4eb8-9CBF-B6C8F9C3D259}">
          <x15:cachedUniqueNames>
            <x15:cachedUniqueName index="0" name="[Table1].[Category_4].&amp;[Biomass]"/>
            <x15:cachedUniqueName index="1" name="[Table1].[Category_4].&amp;[Fossil fuels]"/>
            <x15:cachedUniqueName index="2" name="[Table1].[Category_4].&amp;[Metal ores]"/>
            <x15:cachedUniqueName index="3" name="[Table1].[Category_4].&amp;[Non-metallic minerals]"/>
          </x15:cachedUniqueNames>
        </ext>
      </extLst>
    </cacheField>
    <cacheField name="[Table1].[Category_22].[Category_22]" caption="Category_22" numFmtId="0" hierarchy="1" level="1">
      <sharedItems count="13">
        <s v="Crop Residues"/>
        <s v="Crops"/>
        <s v="Grazed biomass"/>
        <s v="Wild catch"/>
        <s v="Wood"/>
        <s v="Coal"/>
        <s v="Natural Gas"/>
        <s v="Oil shale / tar sands"/>
        <s v="Petroleum"/>
        <s v="Ferrous ores"/>
        <s v="Non-ferrous ores"/>
        <s v="NMM - construction"/>
        <s v="NMM - industrial"/>
      </sharedItems>
      <extLst>
        <ext xmlns:x15="http://schemas.microsoft.com/office/spreadsheetml/2010/11/main" uri="{4F2E5C28-24EA-4eb8-9CBF-B6C8F9C3D259}">
          <x15:cachedUniqueNames>
            <x15:cachedUniqueName index="0" name="[Table1].[Category_22].&amp;[Crop Residues]"/>
            <x15:cachedUniqueName index="1" name="[Table1].[Category_22].&amp;[Crops]"/>
            <x15:cachedUniqueName index="2" name="[Table1].[Category_22].&amp;[Grazed biomass]"/>
            <x15:cachedUniqueName index="3" name="[Table1].[Category_22].&amp;[Wild catch]"/>
            <x15:cachedUniqueName index="4" name="[Table1].[Category_22].&amp;[Wood]"/>
            <x15:cachedUniqueName index="5" name="[Table1].[Category_22].&amp;[Coal]"/>
            <x15:cachedUniqueName index="6" name="[Table1].[Category_22].&amp;[Natural Gas]"/>
            <x15:cachedUniqueName index="7" name="[Table1].[Category_22].&amp;[Oil shale / tar sands]"/>
            <x15:cachedUniqueName index="8" name="[Table1].[Category_22].&amp;[Petroleum]"/>
            <x15:cachedUniqueName index="9" name="[Table1].[Category_22].&amp;[Ferrous ores]"/>
            <x15:cachedUniqueName index="10" name="[Table1].[Category_22].&amp;[Non-ferrous ores]"/>
            <x15:cachedUniqueName index="11" name="[Table1].[Category_22].&amp;[NMM - construction]"/>
            <x15:cachedUniqueName index="12" name="[Table1].[Category_22].&amp;[NMM - industrial]"/>
          </x15:cachedUniqueNames>
        </ext>
      </extLst>
    </cacheField>
    <cacheField name="[Measures].[MatLevel3]" caption="MatLevel3" numFmtId="0" hierarchy="10" level="32767"/>
    <cacheField name="[Table1].[Circularity_subclass].[Circularity_subclass]" caption="Circularity_subclass" numFmtId="0" hierarchy="4" level="1">
      <sharedItems count="3">
        <s v="Dissipative"/>
        <s v="Downcyclable"/>
        <s v="Truly recyclable"/>
      </sharedItems>
      <extLst>
        <ext xmlns:x15="http://schemas.microsoft.com/office/spreadsheetml/2010/11/main" uri="{4F2E5C28-24EA-4eb8-9CBF-B6C8F9C3D259}">
          <x15:cachedUniqueNames>
            <x15:cachedUniqueName index="0" name="[Table1].[Circularity_subclass].&amp;[Dissipative]"/>
            <x15:cachedUniqueName index="1" name="[Table1].[Circularity_subclass].&amp;[Downcyclable]"/>
            <x15:cachedUniqueName index="2" name="[Table1].[Circularity_subclass].&amp;[Truly recyclable]"/>
          </x15:cachedUniqueNames>
        </ext>
      </extLst>
    </cacheField>
  </cacheFields>
  <cacheHierarchies count="13">
    <cacheHierarchy uniqueName="[Table1].[Category_4]" caption="Category_4" attribute="1" defaultMemberUniqueName="[Table1].[Category_4].[All]" allUniqueName="[Table1].[Category_4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_22]" caption="Category_22" attribute="1" defaultMemberUniqueName="[Table1].[Category_22].[All]" allUniqueName="[Table1].[Category_22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Material_78]" caption="Material_78" attribute="1" defaultMemberUniqueName="[Table1].[Material_78].[All]" allUniqueName="[Table1].[Material_78].[All]" dimensionUniqueName="[Table1]" displayFolder="" count="2" memberValueDatatype="130" unbalanced="0"/>
    <cacheHierarchy uniqueName="[Table1].[Circularity_class]" caption="Circularity_class" attribute="1" defaultMemberUniqueName="[Table1].[Circularity_class].[All]" allUniqueName="[Table1].[Circularity_class].[All]" dimensionUniqueName="[Table1]" displayFolder="" count="0" memberValueDatatype="130" unbalanced="0"/>
    <cacheHierarchy uniqueName="[Table1].[Circularity_subclass]" caption="Circularity_subclass" attribute="1" defaultMemberUniqueName="[Table1].[Circularity_subclass].[All]" allUniqueName="[Table1].[Circularity_subclass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Renewal_mechanism]" caption="Renewal_mechanism" attribute="1" defaultMemberUniqueName="[Table1].[Renewal_mechanism].[All]" allUniqueName="[Table1].[Renewal_mechanism].[All]" dimensionUniqueName="[Table1]" displayFolder="" count="0" memberValueDatatype="130" unbalanced="0"/>
    <cacheHierarchy uniqueName="[Table1].[Renewal_timescale]" caption="Renewal_timescale" attribute="1" defaultMemberUniqueName="[Table1].[Renewal_timescale].[All]" allUniqueName="[Table1].[Renewal_timescale].[All]" dimensionUniqueName="[Table1]" displayFolder="" count="0" memberValueDatatype="130" unbalanced="0"/>
    <cacheHierarchy uniqueName="[Table1].[End_use]" caption="End_use" attribute="1" defaultMemberUniqueName="[Table1].[End_use].[All]" allUniqueName="[Table1].[End_use].[All]" dimensionUniqueName="[Table1]" displayFolder="" count="0" memberValueDatatype="130" unbalanced="0"/>
    <cacheHierarchy uniqueName="[Table1].[Stock_forming]" caption="Stock_forming" attribute="1" defaultMemberUniqueName="[Table1].[Stock_forming].[All]" allUniqueName="[Table1].[Stock_forming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Measures].[MatLevel3]" caption="MatLevel3" measure="1" displayFolder="" measureGroup="Table1" count="0" oneField="1">
      <fieldsUsage count="1">
        <fieldUsage x="2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421F3-A353-43FA-9395-54CF767658E2}" name="PivotTable2" cacheId="3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mergeItem="1" createdVersion="8" indent="0" compact="0" compactData="0" gridDropZones="1" multipleFieldFilters="0">
  <location ref="E7:H25" firstHeaderRow="2" firstDataRow="2" firstDataCol="3"/>
  <pivotFields count="4">
    <pivotField name="Material Group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Material Category"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3">
    <field x="0"/>
    <field x="1"/>
    <field x="3"/>
  </rowFields>
  <rowItems count="17">
    <i>
      <x/>
      <x/>
      <x/>
    </i>
    <i r="1">
      <x v="1"/>
      <x/>
    </i>
    <i r="2">
      <x v="1"/>
    </i>
    <i r="1">
      <x v="2"/>
      <x/>
    </i>
    <i r="1">
      <x v="3"/>
      <x/>
    </i>
    <i r="1">
      <x v="4"/>
      <x/>
    </i>
    <i r="2">
      <x v="1"/>
    </i>
    <i>
      <x v="1"/>
      <x v="5"/>
      <x/>
    </i>
    <i r="1">
      <x v="6"/>
      <x/>
    </i>
    <i r="1">
      <x v="7"/>
      <x/>
    </i>
    <i r="1">
      <x v="8"/>
      <x/>
    </i>
    <i>
      <x v="2"/>
      <x v="9"/>
      <x v="2"/>
    </i>
    <i r="1">
      <x v="10"/>
      <x/>
    </i>
    <i r="2">
      <x v="1"/>
    </i>
    <i r="2">
      <x v="2"/>
    </i>
    <i>
      <x v="3"/>
      <x v="11"/>
      <x v="1"/>
    </i>
    <i r="1">
      <x v="12"/>
      <x/>
    </i>
  </rowItems>
  <colItems count="1">
    <i/>
  </colItems>
  <dataFields count="1">
    <dataField fld="2" subtotal="count" baseField="0" baseItem="0"/>
  </dataFields>
  <formats count="47">
    <format dxfId="127">
      <pivotArea dataOnly="0" labelOnly="1" outline="0" fieldPosition="0">
        <references count="1">
          <reference field="0" count="0"/>
        </references>
      </pivotArea>
    </format>
    <format dxfId="126">
      <pivotArea dataOnly="0" labelOnly="1" outline="0" fieldPosition="0">
        <references count="2">
          <reference field="0" count="1" selected="0">
            <x v="0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1"/>
          </reference>
          <reference field="1" count="4">
            <x v="5"/>
            <x v="6"/>
            <x v="7"/>
            <x v="8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2"/>
          </reference>
          <reference field="1" count="2">
            <x v="9"/>
            <x v="10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3"/>
          </reference>
          <reference field="1" count="2">
            <x v="11"/>
            <x v="12"/>
          </reference>
        </references>
      </pivotArea>
    </format>
    <format dxfId="122">
      <pivotArea dataOnly="0" outline="0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121">
      <pivotArea dataOnly="0" outline="0" fieldPosition="0">
        <references count="2">
          <reference field="0" count="1" selected="0">
            <x v="1"/>
          </reference>
          <reference field="1" count="1">
            <x v="8"/>
          </reference>
        </references>
      </pivotArea>
    </format>
    <format dxfId="120">
      <pivotArea dataOnly="0" outline="0" fieldPosition="0">
        <references count="2">
          <reference field="0" count="1" selected="0">
            <x v="2"/>
          </reference>
          <reference field="1" count="1">
            <x v="10"/>
          </reference>
        </references>
      </pivotArea>
    </format>
    <format dxfId="119">
      <pivotArea dataOnly="0" outline="0" fieldPosition="0">
        <references count="2">
          <reference field="0" count="1" selected="0">
            <x v="3"/>
          </reference>
          <reference field="1" count="1">
            <x v="12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2"/>
          </reference>
          <reference field="1" count="1">
            <x v="9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1"/>
          </reference>
          <reference field="1" count="1">
            <x v="7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1"/>
          </reference>
          <reference field="1" count="1">
            <x v="6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1"/>
          </reference>
          <reference field="1" count="1">
            <x v="5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0"/>
          </reference>
          <reference field="1" count="1">
            <x v="2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3"/>
          </reference>
          <reference field="1" count="1">
            <x v="11"/>
          </reference>
        </references>
      </pivotArea>
    </format>
    <format dxfId="109">
      <pivotArea dataOnly="0" labelOnly="1" outline="0" fieldPosition="0">
        <references count="1">
          <reference field="0" count="1">
            <x v="2"/>
          </reference>
        </references>
      </pivotArea>
    </format>
    <format dxfId="108">
      <pivotArea dataOnly="0" labelOnly="1" outline="0" fieldPosition="0">
        <references count="1">
          <reference field="0" count="1">
            <x v="1"/>
          </reference>
        </references>
      </pivotArea>
    </format>
    <format dxfId="107">
      <pivotArea dataOnly="0" labelOnly="1" outline="0" fieldPosition="0">
        <references count="1">
          <reference field="0" count="1">
            <x v="0"/>
          </reference>
        </references>
      </pivotArea>
    </format>
    <format dxfId="106">
      <pivotArea dataOnly="0" labelOnly="1" outline="0" fieldPosition="0">
        <references count="1">
          <reference field="0" count="1">
            <x v="3"/>
          </reference>
        </references>
      </pivotArea>
    </format>
    <format dxfId="50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0" type="button" dataOnly="0" labelOnly="1" outline="0" axis="axisRow" fieldPosition="0"/>
    </format>
    <format dxfId="21">
      <pivotArea field="1" type="button" dataOnly="0" labelOnly="1" outline="0" axis="axisRow" fieldPosition="1"/>
    </format>
    <format dxfId="20">
      <pivotArea field="3" type="button" dataOnly="0" labelOnly="1" outline="0" axis="axisRow" fieldPosition="2"/>
    </format>
    <format dxfId="19">
      <pivotArea dataOnly="0" labelOnly="1" outline="0" fieldPosition="0">
        <references count="1">
          <reference field="0" count="0"/>
        </references>
      </pivotArea>
    </format>
    <format dxfId="18">
      <pivotArea dataOnly="0" labelOnly="1" outline="0" fieldPosition="0">
        <references count="2">
          <reference field="0" count="1" selected="0">
            <x v="0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1"/>
          </reference>
          <reference field="1" count="4">
            <x v="5"/>
            <x v="6"/>
            <x v="7"/>
            <x v="8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2"/>
          </reference>
          <reference field="1" count="2">
            <x v="9"/>
            <x v="10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3"/>
          </reference>
          <reference field="1" count="2">
            <x v="11"/>
            <x v="12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3" count="1">
            <x v="0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3" count="2">
            <x v="0"/>
            <x v="1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3" count="1">
            <x v="0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"/>
          </reference>
          <reference field="3" count="1">
            <x v="0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"/>
          </reference>
          <reference field="3" count="2">
            <x v="0"/>
            <x v="1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"/>
          </reference>
          <reference field="3" count="1">
            <x v="0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"/>
          </reference>
          <reference field="3" count="1">
            <x v="0"/>
          </reference>
        </references>
      </pivotArea>
    </format>
    <format dxfId="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"/>
          </reference>
          <reference field="3" count="1">
            <x v="0"/>
          </reference>
        </references>
      </pivotArea>
    </format>
    <format dxfId="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"/>
          </reference>
          <reference field="3" count="1">
            <x v="0"/>
          </reference>
        </references>
      </pivotArea>
    </format>
    <format dxfId="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"/>
          </reference>
          <reference field="3" count="1">
            <x v="2"/>
          </reference>
        </references>
      </pivotArea>
    </format>
    <format dxfId="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0"/>
          </reference>
          <reference field="3" count="0"/>
        </references>
      </pivotArea>
    </format>
    <format dxfId="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"/>
          </reference>
          <reference field="3" count="1">
            <x v="1"/>
          </reference>
        </references>
      </pivotArea>
    </format>
    <format dxfId="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"/>
          </reference>
          <reference field="3" count="1">
            <x v="0"/>
          </reference>
        </references>
      </pivotArea>
    </format>
    <format dxfId="1">
      <pivotArea type="topRight" dataOnly="0" labelOnly="1" outline="0" fieldPosition="0"/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0"/>
    <rowHierarchyUsage hierarchyUsage="1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ict_Material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BC89DD-D5AF-4B34-B259-5E42276CCBF3}" name="Table1" displayName="Table1" ref="A1:J62" totalsRowShown="0" headerRowDxfId="128">
  <autoFilter ref="A1:J62" xr:uid="{0ECFBF8E-C631-435C-87D5-699E6AA82891}"/>
  <tableColumns count="10">
    <tableColumn id="1" xr3:uid="{884BCEA9-B20A-4E74-9C76-B94FA00AF12C}" name="Category_4"/>
    <tableColumn id="2" xr3:uid="{9F8536D5-04E7-4055-B437-FD1267D43BE0}" name="Category_22"/>
    <tableColumn id="3" xr3:uid="{51270647-3AAF-409F-B280-F04E62B3ED19}" name="Material_78"/>
    <tableColumn id="4" xr3:uid="{91E5FD89-A5A0-4071-9576-788481B81E18}" name="Circularity_class"/>
    <tableColumn id="5" xr3:uid="{B4CFF654-B61C-4E42-875D-A35CC28B6C34}" name="Circularity_subclass"/>
    <tableColumn id="6" xr3:uid="{5BCA8571-6035-4DE3-83BD-3550DCCD6E18}" name="Renewal_mechanism"/>
    <tableColumn id="7" xr3:uid="{75F8EF40-B9C1-4045-BFD4-D7B218C72004}" name="Renewal_timescale"/>
    <tableColumn id="8" xr3:uid="{E970EE02-09F0-4889-9577-B3274BAA1313}" name="End_use"/>
    <tableColumn id="9" xr3:uid="{38E7674B-495C-47EC-930C-BAFF9F5B7F6A}" name="Stock_forming"/>
    <tableColumn id="10" xr3:uid="{88EACEC9-7DFC-4352-A8FA-98CE9DC90A4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E856-122B-46DE-9E7E-472BCF30AD62}">
  <dimension ref="E1:H25"/>
  <sheetViews>
    <sheetView showGridLines="0" tabSelected="1" topLeftCell="C1" workbookViewId="0">
      <selection activeCell="H24" sqref="H24"/>
    </sheetView>
  </sheetViews>
  <sheetFormatPr defaultRowHeight="14.5" x14ac:dyDescent="0.35"/>
  <cols>
    <col min="1" max="4" width="10.6328125" customWidth="1"/>
    <col min="5" max="5" width="17.7265625" style="11" bestFit="1" customWidth="1"/>
    <col min="6" max="6" width="20" style="11" bestFit="1" customWidth="1"/>
    <col min="7" max="7" width="22.6328125" style="11" bestFit="1" customWidth="1"/>
    <col min="8" max="8" width="75.1796875" style="11" bestFit="1" customWidth="1"/>
  </cols>
  <sheetData>
    <row r="1" spans="5:8" ht="15" customHeight="1" x14ac:dyDescent="0.35"/>
    <row r="2" spans="5:8" ht="15" customHeight="1" x14ac:dyDescent="0.35"/>
    <row r="3" spans="5:8" ht="15" customHeight="1" x14ac:dyDescent="0.35"/>
    <row r="4" spans="5:8" ht="15" customHeight="1" x14ac:dyDescent="0.35"/>
    <row r="7" spans="5:8" x14ac:dyDescent="0.35">
      <c r="E7" s="12" t="s">
        <v>248</v>
      </c>
      <c r="F7" s="6"/>
      <c r="G7" s="6"/>
      <c r="H7" s="6"/>
    </row>
    <row r="8" spans="5:8" x14ac:dyDescent="0.35">
      <c r="E8" s="12" t="s">
        <v>256</v>
      </c>
      <c r="F8" s="12" t="s">
        <v>257</v>
      </c>
      <c r="G8" s="12" t="s">
        <v>3</v>
      </c>
      <c r="H8" s="6" t="s">
        <v>249</v>
      </c>
    </row>
    <row r="9" spans="5:8" x14ac:dyDescent="0.35">
      <c r="E9" s="10" t="s">
        <v>201</v>
      </c>
      <c r="F9" s="3" t="s">
        <v>23</v>
      </c>
      <c r="G9" s="5" t="s">
        <v>10</v>
      </c>
      <c r="H9" s="2" t="s">
        <v>250</v>
      </c>
    </row>
    <row r="10" spans="5:8" ht="29" x14ac:dyDescent="0.35">
      <c r="E10" s="9"/>
      <c r="F10" s="10" t="s">
        <v>29</v>
      </c>
      <c r="G10" s="5" t="s">
        <v>10</v>
      </c>
      <c r="H10" s="2" t="s">
        <v>258</v>
      </c>
    </row>
    <row r="11" spans="5:8" x14ac:dyDescent="0.35">
      <c r="E11" s="9"/>
      <c r="F11" s="7"/>
      <c r="G11" s="5" t="s">
        <v>35</v>
      </c>
      <c r="H11" s="2" t="s">
        <v>33</v>
      </c>
    </row>
    <row r="12" spans="5:8" x14ac:dyDescent="0.35">
      <c r="E12" s="9"/>
      <c r="F12" s="3" t="s">
        <v>62</v>
      </c>
      <c r="G12" s="5" t="s">
        <v>10</v>
      </c>
      <c r="H12" s="2" t="s">
        <v>62</v>
      </c>
    </row>
    <row r="13" spans="5:8" x14ac:dyDescent="0.35">
      <c r="E13" s="9"/>
      <c r="F13" s="3" t="s">
        <v>158</v>
      </c>
      <c r="G13" s="5" t="s">
        <v>10</v>
      </c>
      <c r="H13" s="2" t="s">
        <v>251</v>
      </c>
    </row>
    <row r="14" spans="5:8" x14ac:dyDescent="0.35">
      <c r="E14" s="9"/>
      <c r="F14" s="10" t="s">
        <v>163</v>
      </c>
      <c r="G14" s="5" t="s">
        <v>10</v>
      </c>
      <c r="H14" s="8" t="s">
        <v>167</v>
      </c>
    </row>
    <row r="15" spans="5:8" x14ac:dyDescent="0.35">
      <c r="E15" s="7"/>
      <c r="F15" s="7"/>
      <c r="G15" s="5" t="s">
        <v>35</v>
      </c>
      <c r="H15" s="4" t="s">
        <v>164</v>
      </c>
    </row>
    <row r="16" spans="5:8" ht="29" x14ac:dyDescent="0.35">
      <c r="E16" s="10" t="s">
        <v>244</v>
      </c>
      <c r="F16" s="3" t="s">
        <v>7</v>
      </c>
      <c r="G16" s="5" t="s">
        <v>10</v>
      </c>
      <c r="H16" s="2" t="s">
        <v>252</v>
      </c>
    </row>
    <row r="17" spans="5:8" x14ac:dyDescent="0.35">
      <c r="E17" s="9"/>
      <c r="F17" s="3" t="s">
        <v>64</v>
      </c>
      <c r="G17" s="5" t="s">
        <v>10</v>
      </c>
      <c r="H17" s="2" t="s">
        <v>65</v>
      </c>
    </row>
    <row r="18" spans="5:8" x14ac:dyDescent="0.35">
      <c r="E18" s="9"/>
      <c r="F18" s="3" t="s">
        <v>149</v>
      </c>
      <c r="G18" s="5" t="s">
        <v>10</v>
      </c>
      <c r="H18" s="2" t="s">
        <v>150</v>
      </c>
    </row>
    <row r="19" spans="5:8" x14ac:dyDescent="0.35">
      <c r="E19" s="7"/>
      <c r="F19" s="3" t="s">
        <v>152</v>
      </c>
      <c r="G19" s="5" t="s">
        <v>10</v>
      </c>
      <c r="H19" s="4" t="s">
        <v>253</v>
      </c>
    </row>
    <row r="20" spans="5:8" x14ac:dyDescent="0.35">
      <c r="E20" s="10" t="s">
        <v>245</v>
      </c>
      <c r="F20" s="3" t="s">
        <v>55</v>
      </c>
      <c r="G20" s="5" t="s">
        <v>58</v>
      </c>
      <c r="H20" s="2" t="s">
        <v>56</v>
      </c>
    </row>
    <row r="21" spans="5:8" x14ac:dyDescent="0.35">
      <c r="E21" s="9"/>
      <c r="F21" s="10" t="s">
        <v>68</v>
      </c>
      <c r="G21" s="5" t="s">
        <v>10</v>
      </c>
      <c r="H21" s="8" t="s">
        <v>105</v>
      </c>
    </row>
    <row r="22" spans="5:8" x14ac:dyDescent="0.35">
      <c r="E22" s="9"/>
      <c r="F22" s="9"/>
      <c r="G22" s="5" t="s">
        <v>35</v>
      </c>
      <c r="H22" s="8" t="s">
        <v>259</v>
      </c>
    </row>
    <row r="23" spans="5:8" ht="29" x14ac:dyDescent="0.35">
      <c r="E23" s="7"/>
      <c r="F23" s="7"/>
      <c r="G23" s="5" t="s">
        <v>58</v>
      </c>
      <c r="H23" s="4" t="s">
        <v>260</v>
      </c>
    </row>
    <row r="24" spans="5:8" ht="29" x14ac:dyDescent="0.35">
      <c r="E24" s="10" t="s">
        <v>246</v>
      </c>
      <c r="F24" s="3" t="s">
        <v>111</v>
      </c>
      <c r="G24" s="5" t="s">
        <v>35</v>
      </c>
      <c r="H24" s="2" t="s">
        <v>254</v>
      </c>
    </row>
    <row r="25" spans="5:8" ht="29" x14ac:dyDescent="0.35">
      <c r="E25" s="7"/>
      <c r="F25" s="3" t="s">
        <v>130</v>
      </c>
      <c r="G25" s="5" t="s">
        <v>10</v>
      </c>
      <c r="H25" s="4" t="s">
        <v>255</v>
      </c>
    </row>
  </sheetData>
  <mergeCells count="7">
    <mergeCell ref="E24:E25"/>
    <mergeCell ref="F10:F11"/>
    <mergeCell ref="F14:F15"/>
    <mergeCell ref="F21:F23"/>
    <mergeCell ref="E9:E15"/>
    <mergeCell ref="E16:E19"/>
    <mergeCell ref="E20:E23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BF8E-C631-435C-87D5-699E6AA82891}">
  <dimension ref="A1:J62"/>
  <sheetViews>
    <sheetView workbookViewId="0">
      <selection activeCell="D18" sqref="D18"/>
    </sheetView>
  </sheetViews>
  <sheetFormatPr defaultRowHeight="14.5" x14ac:dyDescent="0.35"/>
  <cols>
    <col min="1" max="1" width="18.81640625" bestFit="1" customWidth="1"/>
    <col min="2" max="2" width="16.7265625" customWidth="1"/>
    <col min="3" max="3" width="28.7265625" bestFit="1" customWidth="1"/>
    <col min="4" max="4" width="17.1796875" bestFit="1" customWidth="1"/>
    <col min="5" max="5" width="20.36328125" bestFit="1" customWidth="1"/>
    <col min="6" max="6" width="28" bestFit="1" customWidth="1"/>
    <col min="7" max="7" width="23" bestFit="1" customWidth="1"/>
    <col min="8" max="8" width="30.6328125" bestFit="1" customWidth="1"/>
    <col min="9" max="9" width="15.1796875" bestFit="1" customWidth="1"/>
    <col min="10" max="10" width="79.26953125" bestFit="1" customWidth="1"/>
  </cols>
  <sheetData>
    <row r="1" spans="1:10" x14ac:dyDescent="0.35">
      <c r="A1" s="1" t="s">
        <v>247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168</v>
      </c>
      <c r="G1" s="1" t="s">
        <v>169</v>
      </c>
      <c r="H1" s="1" t="s">
        <v>4</v>
      </c>
      <c r="I1" s="1" t="s">
        <v>5</v>
      </c>
      <c r="J1" s="1" t="s">
        <v>6</v>
      </c>
    </row>
    <row r="2" spans="1:10" x14ac:dyDescent="0.35">
      <c r="A2" t="s">
        <v>244</v>
      </c>
      <c r="B2" t="s">
        <v>7</v>
      </c>
      <c r="C2" t="s">
        <v>8</v>
      </c>
      <c r="D2" t="s">
        <v>9</v>
      </c>
      <c r="E2" t="s">
        <v>10</v>
      </c>
      <c r="F2" t="s">
        <v>170</v>
      </c>
      <c r="G2" t="s">
        <v>171</v>
      </c>
      <c r="H2" t="s">
        <v>11</v>
      </c>
      <c r="I2" t="s">
        <v>12</v>
      </c>
      <c r="J2" t="s">
        <v>13</v>
      </c>
    </row>
    <row r="3" spans="1:10" x14ac:dyDescent="0.35">
      <c r="A3" t="s">
        <v>244</v>
      </c>
      <c r="B3" t="s">
        <v>7</v>
      </c>
      <c r="C3" t="s">
        <v>14</v>
      </c>
      <c r="D3" t="s">
        <v>9</v>
      </c>
      <c r="E3" t="s">
        <v>10</v>
      </c>
      <c r="F3" t="s">
        <v>170</v>
      </c>
      <c r="G3" t="s">
        <v>171</v>
      </c>
      <c r="H3" t="s">
        <v>15</v>
      </c>
      <c r="I3" t="s">
        <v>12</v>
      </c>
      <c r="J3" t="s">
        <v>16</v>
      </c>
    </row>
    <row r="4" spans="1:10" x14ac:dyDescent="0.35">
      <c r="A4" t="s">
        <v>244</v>
      </c>
      <c r="B4" t="s">
        <v>7</v>
      </c>
      <c r="C4" t="s">
        <v>17</v>
      </c>
      <c r="D4" t="s">
        <v>9</v>
      </c>
      <c r="E4" t="s">
        <v>10</v>
      </c>
      <c r="F4" t="s">
        <v>170</v>
      </c>
      <c r="G4" t="s">
        <v>171</v>
      </c>
      <c r="H4" t="s">
        <v>11</v>
      </c>
      <c r="I4" t="s">
        <v>12</v>
      </c>
      <c r="J4" t="s">
        <v>18</v>
      </c>
    </row>
    <row r="5" spans="1:10" x14ac:dyDescent="0.35">
      <c r="A5" t="s">
        <v>244</v>
      </c>
      <c r="B5" t="s">
        <v>7</v>
      </c>
      <c r="C5" t="s">
        <v>19</v>
      </c>
      <c r="D5" t="s">
        <v>9</v>
      </c>
      <c r="E5" t="s">
        <v>10</v>
      </c>
      <c r="F5" t="s">
        <v>170</v>
      </c>
      <c r="G5" t="s">
        <v>171</v>
      </c>
      <c r="H5" t="s">
        <v>11</v>
      </c>
      <c r="I5" t="s">
        <v>12</v>
      </c>
      <c r="J5" t="s">
        <v>20</v>
      </c>
    </row>
    <row r="6" spans="1:10" x14ac:dyDescent="0.35">
      <c r="A6" t="s">
        <v>244</v>
      </c>
      <c r="B6" t="s">
        <v>7</v>
      </c>
      <c r="C6" t="s">
        <v>21</v>
      </c>
      <c r="D6" t="s">
        <v>9</v>
      </c>
      <c r="E6" t="s">
        <v>10</v>
      </c>
      <c r="F6" t="s">
        <v>170</v>
      </c>
      <c r="G6" t="s">
        <v>171</v>
      </c>
      <c r="H6" t="s">
        <v>11</v>
      </c>
      <c r="I6" t="s">
        <v>12</v>
      </c>
      <c r="J6" t="s">
        <v>20</v>
      </c>
    </row>
    <row r="7" spans="1:10" x14ac:dyDescent="0.35">
      <c r="A7" t="s">
        <v>244</v>
      </c>
      <c r="B7" t="s">
        <v>7</v>
      </c>
      <c r="C7" t="s">
        <v>22</v>
      </c>
      <c r="D7" t="s">
        <v>9</v>
      </c>
      <c r="E7" t="s">
        <v>10</v>
      </c>
      <c r="F7" t="s">
        <v>172</v>
      </c>
      <c r="G7" t="s">
        <v>173</v>
      </c>
      <c r="H7" t="s">
        <v>11</v>
      </c>
      <c r="I7" t="s">
        <v>12</v>
      </c>
      <c r="J7" t="s">
        <v>20</v>
      </c>
    </row>
    <row r="8" spans="1:10" x14ac:dyDescent="0.35">
      <c r="A8" t="s">
        <v>201</v>
      </c>
      <c r="B8" t="s">
        <v>23</v>
      </c>
      <c r="C8" t="s">
        <v>24</v>
      </c>
      <c r="D8" t="s">
        <v>9</v>
      </c>
      <c r="E8" t="s">
        <v>10</v>
      </c>
      <c r="F8" t="s">
        <v>174</v>
      </c>
      <c r="G8" t="s">
        <v>175</v>
      </c>
      <c r="H8" t="s">
        <v>25</v>
      </c>
      <c r="I8" t="s">
        <v>12</v>
      </c>
      <c r="J8" t="s">
        <v>26</v>
      </c>
    </row>
    <row r="9" spans="1:10" x14ac:dyDescent="0.35">
      <c r="A9" t="s">
        <v>201</v>
      </c>
      <c r="B9" t="s">
        <v>23</v>
      </c>
      <c r="C9" t="s">
        <v>27</v>
      </c>
      <c r="D9" t="s">
        <v>9</v>
      </c>
      <c r="E9" t="s">
        <v>10</v>
      </c>
      <c r="F9" t="s">
        <v>174</v>
      </c>
      <c r="G9" t="s">
        <v>175</v>
      </c>
      <c r="H9" t="s">
        <v>25</v>
      </c>
      <c r="I9" t="s">
        <v>12</v>
      </c>
      <c r="J9" t="s">
        <v>28</v>
      </c>
    </row>
    <row r="10" spans="1:10" x14ac:dyDescent="0.35">
      <c r="A10" t="s">
        <v>201</v>
      </c>
      <c r="B10" t="s">
        <v>29</v>
      </c>
      <c r="C10" t="s">
        <v>30</v>
      </c>
      <c r="D10" t="s">
        <v>9</v>
      </c>
      <c r="E10" t="s">
        <v>10</v>
      </c>
      <c r="F10" t="s">
        <v>174</v>
      </c>
      <c r="G10" t="s">
        <v>175</v>
      </c>
      <c r="H10" t="s">
        <v>31</v>
      </c>
      <c r="I10" t="s">
        <v>12</v>
      </c>
      <c r="J10" t="s">
        <v>32</v>
      </c>
    </row>
    <row r="11" spans="1:10" x14ac:dyDescent="0.35">
      <c r="A11" t="s">
        <v>201</v>
      </c>
      <c r="B11" t="s">
        <v>29</v>
      </c>
      <c r="C11" t="s">
        <v>33</v>
      </c>
      <c r="D11" t="s">
        <v>34</v>
      </c>
      <c r="E11" t="s">
        <v>35</v>
      </c>
      <c r="F11" t="s">
        <v>174</v>
      </c>
      <c r="G11" t="s">
        <v>175</v>
      </c>
      <c r="H11" t="s">
        <v>36</v>
      </c>
      <c r="I11" t="s">
        <v>12</v>
      </c>
      <c r="J11" t="s">
        <v>37</v>
      </c>
    </row>
    <row r="12" spans="1:10" x14ac:dyDescent="0.35">
      <c r="A12" t="s">
        <v>201</v>
      </c>
      <c r="B12" t="s">
        <v>29</v>
      </c>
      <c r="C12" t="s">
        <v>38</v>
      </c>
      <c r="D12" t="s">
        <v>9</v>
      </c>
      <c r="E12" t="s">
        <v>10</v>
      </c>
      <c r="F12" t="s">
        <v>174</v>
      </c>
      <c r="G12" t="s">
        <v>175</v>
      </c>
      <c r="H12" t="s">
        <v>39</v>
      </c>
      <c r="I12" t="s">
        <v>12</v>
      </c>
      <c r="J12" t="s">
        <v>32</v>
      </c>
    </row>
    <row r="13" spans="1:10" x14ac:dyDescent="0.35">
      <c r="A13" t="s">
        <v>201</v>
      </c>
      <c r="B13" t="s">
        <v>29</v>
      </c>
      <c r="C13" t="s">
        <v>40</v>
      </c>
      <c r="D13" t="s">
        <v>9</v>
      </c>
      <c r="E13" t="s">
        <v>10</v>
      </c>
      <c r="F13" t="s">
        <v>174</v>
      </c>
      <c r="G13" t="s">
        <v>175</v>
      </c>
      <c r="H13" t="s">
        <v>39</v>
      </c>
      <c r="I13" t="s">
        <v>12</v>
      </c>
      <c r="J13" t="s">
        <v>32</v>
      </c>
    </row>
    <row r="14" spans="1:10" x14ac:dyDescent="0.35">
      <c r="A14" t="s">
        <v>201</v>
      </c>
      <c r="B14" t="s">
        <v>29</v>
      </c>
      <c r="C14" t="s">
        <v>41</v>
      </c>
      <c r="D14" t="s">
        <v>9</v>
      </c>
      <c r="E14" t="s">
        <v>10</v>
      </c>
      <c r="F14" t="s">
        <v>174</v>
      </c>
      <c r="G14" t="s">
        <v>175</v>
      </c>
      <c r="H14" t="s">
        <v>42</v>
      </c>
      <c r="I14" t="s">
        <v>12</v>
      </c>
      <c r="J14" t="s">
        <v>32</v>
      </c>
    </row>
    <row r="15" spans="1:10" x14ac:dyDescent="0.35">
      <c r="A15" t="s">
        <v>201</v>
      </c>
      <c r="B15" t="s">
        <v>29</v>
      </c>
      <c r="C15" t="s">
        <v>43</v>
      </c>
      <c r="D15" t="s">
        <v>9</v>
      </c>
      <c r="E15" t="s">
        <v>10</v>
      </c>
      <c r="F15" t="s">
        <v>174</v>
      </c>
      <c r="G15" t="s">
        <v>175</v>
      </c>
      <c r="H15" t="s">
        <v>31</v>
      </c>
      <c r="I15" t="s">
        <v>12</v>
      </c>
      <c r="J15" t="s">
        <v>32</v>
      </c>
    </row>
    <row r="16" spans="1:10" x14ac:dyDescent="0.35">
      <c r="A16" t="s">
        <v>201</v>
      </c>
      <c r="B16" t="s">
        <v>29</v>
      </c>
      <c r="C16" t="s">
        <v>44</v>
      </c>
      <c r="D16" t="s">
        <v>9</v>
      </c>
      <c r="E16" t="s">
        <v>10</v>
      </c>
      <c r="F16" t="s">
        <v>174</v>
      </c>
      <c r="G16" t="s">
        <v>175</v>
      </c>
      <c r="H16" t="s">
        <v>39</v>
      </c>
      <c r="I16" t="s">
        <v>12</v>
      </c>
      <c r="J16" t="s">
        <v>32</v>
      </c>
    </row>
    <row r="17" spans="1:10" x14ac:dyDescent="0.35">
      <c r="A17" t="s">
        <v>201</v>
      </c>
      <c r="B17" t="s">
        <v>29</v>
      </c>
      <c r="C17" t="s">
        <v>45</v>
      </c>
      <c r="D17" t="s">
        <v>9</v>
      </c>
      <c r="E17" t="s">
        <v>10</v>
      </c>
      <c r="F17" t="s">
        <v>174</v>
      </c>
      <c r="G17" t="s">
        <v>175</v>
      </c>
      <c r="H17" t="s">
        <v>39</v>
      </c>
      <c r="I17" t="s">
        <v>12</v>
      </c>
      <c r="J17" t="s">
        <v>32</v>
      </c>
    </row>
    <row r="18" spans="1:10" x14ac:dyDescent="0.35">
      <c r="A18" t="s">
        <v>201</v>
      </c>
      <c r="B18" t="s">
        <v>29</v>
      </c>
      <c r="C18" t="s">
        <v>46</v>
      </c>
      <c r="D18" t="s">
        <v>9</v>
      </c>
      <c r="E18" t="s">
        <v>10</v>
      </c>
      <c r="F18" t="s">
        <v>174</v>
      </c>
      <c r="G18" t="s">
        <v>175</v>
      </c>
      <c r="H18" t="s">
        <v>39</v>
      </c>
      <c r="I18" t="s">
        <v>12</v>
      </c>
      <c r="J18" t="s">
        <v>32</v>
      </c>
    </row>
    <row r="19" spans="1:10" x14ac:dyDescent="0.35">
      <c r="A19" t="s">
        <v>201</v>
      </c>
      <c r="B19" t="s">
        <v>29</v>
      </c>
      <c r="C19" t="s">
        <v>47</v>
      </c>
      <c r="D19" t="s">
        <v>9</v>
      </c>
      <c r="E19" t="s">
        <v>10</v>
      </c>
      <c r="F19" t="s">
        <v>174</v>
      </c>
      <c r="G19" t="s">
        <v>175</v>
      </c>
      <c r="H19" t="s">
        <v>48</v>
      </c>
      <c r="I19" t="s">
        <v>12</v>
      </c>
      <c r="J19" t="s">
        <v>32</v>
      </c>
    </row>
    <row r="20" spans="1:10" x14ac:dyDescent="0.35">
      <c r="A20" t="s">
        <v>201</v>
      </c>
      <c r="B20" t="s">
        <v>29</v>
      </c>
      <c r="C20" t="s">
        <v>49</v>
      </c>
      <c r="D20" t="s">
        <v>9</v>
      </c>
      <c r="E20" t="s">
        <v>10</v>
      </c>
      <c r="F20" t="s">
        <v>174</v>
      </c>
      <c r="G20" t="s">
        <v>175</v>
      </c>
      <c r="H20" t="s">
        <v>50</v>
      </c>
      <c r="I20" t="s">
        <v>12</v>
      </c>
      <c r="J20" t="s">
        <v>32</v>
      </c>
    </row>
    <row r="21" spans="1:10" x14ac:dyDescent="0.35">
      <c r="A21" t="s">
        <v>201</v>
      </c>
      <c r="B21" t="s">
        <v>29</v>
      </c>
      <c r="C21" t="s">
        <v>51</v>
      </c>
      <c r="D21" t="s">
        <v>9</v>
      </c>
      <c r="E21" t="s">
        <v>10</v>
      </c>
      <c r="F21" t="s">
        <v>174</v>
      </c>
      <c r="G21" t="s">
        <v>175</v>
      </c>
      <c r="H21" t="s">
        <v>52</v>
      </c>
      <c r="I21" t="s">
        <v>12</v>
      </c>
      <c r="J21" t="s">
        <v>32</v>
      </c>
    </row>
    <row r="22" spans="1:10" x14ac:dyDescent="0.35">
      <c r="A22" t="s">
        <v>201</v>
      </c>
      <c r="B22" t="s">
        <v>29</v>
      </c>
      <c r="C22" t="s">
        <v>53</v>
      </c>
      <c r="D22" t="s">
        <v>9</v>
      </c>
      <c r="E22" t="s">
        <v>10</v>
      </c>
      <c r="F22" t="s">
        <v>174</v>
      </c>
      <c r="G22" t="s">
        <v>175</v>
      </c>
      <c r="H22" t="s">
        <v>39</v>
      </c>
      <c r="I22" t="s">
        <v>12</v>
      </c>
      <c r="J22" t="s">
        <v>32</v>
      </c>
    </row>
    <row r="23" spans="1:10" x14ac:dyDescent="0.35">
      <c r="A23" t="s">
        <v>201</v>
      </c>
      <c r="B23" t="s">
        <v>29</v>
      </c>
      <c r="C23" t="s">
        <v>54</v>
      </c>
      <c r="D23" t="s">
        <v>9</v>
      </c>
      <c r="E23" t="s">
        <v>10</v>
      </c>
      <c r="F23" t="s">
        <v>174</v>
      </c>
      <c r="G23" t="s">
        <v>175</v>
      </c>
      <c r="H23" t="s">
        <v>31</v>
      </c>
      <c r="I23" t="s">
        <v>12</v>
      </c>
      <c r="J23" t="s">
        <v>32</v>
      </c>
    </row>
    <row r="24" spans="1:10" x14ac:dyDescent="0.35">
      <c r="A24" t="s">
        <v>245</v>
      </c>
      <c r="B24" t="s">
        <v>55</v>
      </c>
      <c r="C24" t="s">
        <v>56</v>
      </c>
      <c r="D24" t="s">
        <v>57</v>
      </c>
      <c r="E24" t="s">
        <v>58</v>
      </c>
      <c r="F24" t="s">
        <v>176</v>
      </c>
      <c r="G24" t="s">
        <v>177</v>
      </c>
      <c r="H24" t="s">
        <v>59</v>
      </c>
      <c r="I24" t="s">
        <v>60</v>
      </c>
      <c r="J24" t="s">
        <v>61</v>
      </c>
    </row>
    <row r="25" spans="1:10" x14ac:dyDescent="0.35">
      <c r="A25" t="s">
        <v>201</v>
      </c>
      <c r="B25" t="s">
        <v>62</v>
      </c>
      <c r="C25" t="s">
        <v>62</v>
      </c>
      <c r="D25" t="s">
        <v>9</v>
      </c>
      <c r="E25" t="s">
        <v>10</v>
      </c>
      <c r="F25" t="s">
        <v>174</v>
      </c>
      <c r="G25" t="s">
        <v>175</v>
      </c>
      <c r="H25" t="s">
        <v>31</v>
      </c>
      <c r="I25" t="s">
        <v>12</v>
      </c>
      <c r="J25" t="s">
        <v>63</v>
      </c>
    </row>
    <row r="26" spans="1:10" x14ac:dyDescent="0.35">
      <c r="A26" t="s">
        <v>244</v>
      </c>
      <c r="B26" t="s">
        <v>64</v>
      </c>
      <c r="C26" t="s">
        <v>65</v>
      </c>
      <c r="D26" t="s">
        <v>9</v>
      </c>
      <c r="E26" t="s">
        <v>10</v>
      </c>
      <c r="F26" t="s">
        <v>170</v>
      </c>
      <c r="G26" t="s">
        <v>171</v>
      </c>
      <c r="H26" t="s">
        <v>66</v>
      </c>
      <c r="I26" t="s">
        <v>12</v>
      </c>
      <c r="J26" t="s">
        <v>67</v>
      </c>
    </row>
    <row r="27" spans="1:10" x14ac:dyDescent="0.35">
      <c r="A27" t="s">
        <v>245</v>
      </c>
      <c r="B27" t="s">
        <v>68</v>
      </c>
      <c r="C27" t="s">
        <v>69</v>
      </c>
      <c r="D27" t="s">
        <v>57</v>
      </c>
      <c r="E27" t="s">
        <v>58</v>
      </c>
      <c r="F27" t="s">
        <v>176</v>
      </c>
      <c r="G27" t="s">
        <v>177</v>
      </c>
      <c r="H27" t="s">
        <v>70</v>
      </c>
      <c r="I27" t="s">
        <v>60</v>
      </c>
      <c r="J27" t="s">
        <v>71</v>
      </c>
    </row>
    <row r="28" spans="1:10" x14ac:dyDescent="0.35">
      <c r="A28" t="s">
        <v>245</v>
      </c>
      <c r="B28" t="s">
        <v>68</v>
      </c>
      <c r="C28" t="s">
        <v>72</v>
      </c>
      <c r="D28" t="s">
        <v>57</v>
      </c>
      <c r="E28" t="s">
        <v>58</v>
      </c>
      <c r="F28" t="s">
        <v>178</v>
      </c>
      <c r="G28" t="s">
        <v>177</v>
      </c>
      <c r="H28" t="s">
        <v>73</v>
      </c>
      <c r="I28" t="s">
        <v>60</v>
      </c>
      <c r="J28" t="s">
        <v>74</v>
      </c>
    </row>
    <row r="29" spans="1:10" x14ac:dyDescent="0.35">
      <c r="A29" t="s">
        <v>245</v>
      </c>
      <c r="B29" t="s">
        <v>68</v>
      </c>
      <c r="C29" t="s">
        <v>75</v>
      </c>
      <c r="D29" t="s">
        <v>57</v>
      </c>
      <c r="E29" t="s">
        <v>58</v>
      </c>
      <c r="F29" t="s">
        <v>176</v>
      </c>
      <c r="G29" t="s">
        <v>177</v>
      </c>
      <c r="H29" t="s">
        <v>76</v>
      </c>
      <c r="I29" t="s">
        <v>60</v>
      </c>
      <c r="J29" t="s">
        <v>77</v>
      </c>
    </row>
    <row r="30" spans="1:10" x14ac:dyDescent="0.35">
      <c r="A30" t="s">
        <v>245</v>
      </c>
      <c r="B30" t="s">
        <v>68</v>
      </c>
      <c r="C30" t="s">
        <v>78</v>
      </c>
      <c r="D30" t="s">
        <v>57</v>
      </c>
      <c r="E30" t="s">
        <v>58</v>
      </c>
      <c r="F30" t="s">
        <v>176</v>
      </c>
      <c r="G30" t="s">
        <v>177</v>
      </c>
      <c r="H30" t="s">
        <v>79</v>
      </c>
      <c r="I30" t="s">
        <v>60</v>
      </c>
      <c r="J30" t="s">
        <v>80</v>
      </c>
    </row>
    <row r="31" spans="1:10" x14ac:dyDescent="0.35">
      <c r="A31" t="s">
        <v>245</v>
      </c>
      <c r="B31" t="s">
        <v>68</v>
      </c>
      <c r="C31" t="s">
        <v>81</v>
      </c>
      <c r="D31" t="s">
        <v>57</v>
      </c>
      <c r="E31" t="s">
        <v>58</v>
      </c>
      <c r="F31" t="s">
        <v>176</v>
      </c>
      <c r="G31" t="s">
        <v>177</v>
      </c>
      <c r="H31" t="s">
        <v>82</v>
      </c>
      <c r="I31" t="s">
        <v>60</v>
      </c>
      <c r="J31" t="s">
        <v>83</v>
      </c>
    </row>
    <row r="32" spans="1:10" x14ac:dyDescent="0.35">
      <c r="A32" t="s">
        <v>245</v>
      </c>
      <c r="B32" t="s">
        <v>68</v>
      </c>
      <c r="C32" t="s">
        <v>84</v>
      </c>
      <c r="D32" t="s">
        <v>34</v>
      </c>
      <c r="E32" t="s">
        <v>58</v>
      </c>
      <c r="F32" t="s">
        <v>178</v>
      </c>
      <c r="G32" t="s">
        <v>177</v>
      </c>
      <c r="H32" t="s">
        <v>85</v>
      </c>
      <c r="I32" t="s">
        <v>60</v>
      </c>
      <c r="J32" t="s">
        <v>86</v>
      </c>
    </row>
    <row r="33" spans="1:10" x14ac:dyDescent="0.35">
      <c r="A33" t="s">
        <v>245</v>
      </c>
      <c r="B33" t="s">
        <v>68</v>
      </c>
      <c r="C33" t="s">
        <v>87</v>
      </c>
      <c r="D33" t="s">
        <v>57</v>
      </c>
      <c r="E33" t="s">
        <v>58</v>
      </c>
      <c r="F33" t="s">
        <v>176</v>
      </c>
      <c r="G33" t="s">
        <v>177</v>
      </c>
      <c r="H33" t="s">
        <v>88</v>
      </c>
      <c r="I33" t="s">
        <v>60</v>
      </c>
      <c r="J33" t="s">
        <v>89</v>
      </c>
    </row>
    <row r="34" spans="1:10" x14ac:dyDescent="0.35">
      <c r="A34" t="s">
        <v>245</v>
      </c>
      <c r="B34" t="s">
        <v>68</v>
      </c>
      <c r="C34" t="s">
        <v>90</v>
      </c>
      <c r="D34" t="s">
        <v>34</v>
      </c>
      <c r="E34" t="s">
        <v>58</v>
      </c>
      <c r="F34" t="s">
        <v>178</v>
      </c>
      <c r="G34" t="s">
        <v>177</v>
      </c>
      <c r="H34" t="s">
        <v>91</v>
      </c>
      <c r="I34" t="s">
        <v>60</v>
      </c>
      <c r="J34" t="s">
        <v>92</v>
      </c>
    </row>
    <row r="35" spans="1:10" x14ac:dyDescent="0.35">
      <c r="A35" t="s">
        <v>245</v>
      </c>
      <c r="B35" t="s">
        <v>68</v>
      </c>
      <c r="C35" t="s">
        <v>93</v>
      </c>
      <c r="D35" t="s">
        <v>57</v>
      </c>
      <c r="E35" t="s">
        <v>58</v>
      </c>
      <c r="F35" t="s">
        <v>176</v>
      </c>
      <c r="G35" t="s">
        <v>177</v>
      </c>
      <c r="H35" t="s">
        <v>94</v>
      </c>
      <c r="I35" t="s">
        <v>60</v>
      </c>
      <c r="J35" t="s">
        <v>95</v>
      </c>
    </row>
    <row r="36" spans="1:10" x14ac:dyDescent="0.35">
      <c r="A36" t="s">
        <v>245</v>
      </c>
      <c r="B36" t="s">
        <v>68</v>
      </c>
      <c r="C36" t="s">
        <v>96</v>
      </c>
      <c r="D36" t="s">
        <v>34</v>
      </c>
      <c r="E36" t="s">
        <v>58</v>
      </c>
      <c r="F36" t="s">
        <v>176</v>
      </c>
      <c r="G36" t="s">
        <v>177</v>
      </c>
      <c r="H36" t="s">
        <v>97</v>
      </c>
      <c r="I36" t="s">
        <v>60</v>
      </c>
      <c r="J36" t="s">
        <v>98</v>
      </c>
    </row>
    <row r="37" spans="1:10" x14ac:dyDescent="0.35">
      <c r="A37" t="s">
        <v>245</v>
      </c>
      <c r="B37" t="s">
        <v>68</v>
      </c>
      <c r="C37" t="s">
        <v>99</v>
      </c>
      <c r="D37" t="s">
        <v>34</v>
      </c>
      <c r="E37" t="s">
        <v>35</v>
      </c>
      <c r="F37" t="s">
        <v>179</v>
      </c>
      <c r="G37" t="s">
        <v>177</v>
      </c>
      <c r="H37" t="s">
        <v>100</v>
      </c>
      <c r="I37" t="s">
        <v>60</v>
      </c>
      <c r="J37" t="s">
        <v>101</v>
      </c>
    </row>
    <row r="38" spans="1:10" x14ac:dyDescent="0.35">
      <c r="A38" t="s">
        <v>245</v>
      </c>
      <c r="B38" t="s">
        <v>68</v>
      </c>
      <c r="C38" t="s">
        <v>102</v>
      </c>
      <c r="D38" t="s">
        <v>34</v>
      </c>
      <c r="E38" t="s">
        <v>58</v>
      </c>
      <c r="F38" t="s">
        <v>179</v>
      </c>
      <c r="G38" t="s">
        <v>177</v>
      </c>
      <c r="H38" t="s">
        <v>103</v>
      </c>
      <c r="I38" t="s">
        <v>60</v>
      </c>
      <c r="J38" t="s">
        <v>104</v>
      </c>
    </row>
    <row r="39" spans="1:10" x14ac:dyDescent="0.35">
      <c r="A39" t="s">
        <v>245</v>
      </c>
      <c r="B39" t="s">
        <v>68</v>
      </c>
      <c r="C39" t="s">
        <v>105</v>
      </c>
      <c r="D39" t="s">
        <v>9</v>
      </c>
      <c r="E39" t="s">
        <v>10</v>
      </c>
      <c r="F39" t="s">
        <v>170</v>
      </c>
      <c r="G39" t="s">
        <v>171</v>
      </c>
      <c r="H39" t="s">
        <v>106</v>
      </c>
      <c r="I39" t="s">
        <v>12</v>
      </c>
      <c r="J39" t="s">
        <v>107</v>
      </c>
    </row>
    <row r="40" spans="1:10" x14ac:dyDescent="0.35">
      <c r="A40" t="s">
        <v>245</v>
      </c>
      <c r="B40" t="s">
        <v>68</v>
      </c>
      <c r="C40" t="s">
        <v>108</v>
      </c>
      <c r="D40" t="s">
        <v>34</v>
      </c>
      <c r="E40" t="s">
        <v>35</v>
      </c>
      <c r="F40" t="s">
        <v>179</v>
      </c>
      <c r="G40" t="s">
        <v>177</v>
      </c>
      <c r="H40" t="s">
        <v>109</v>
      </c>
      <c r="I40" t="s">
        <v>60</v>
      </c>
      <c r="J40" t="s">
        <v>110</v>
      </c>
    </row>
    <row r="41" spans="1:10" x14ac:dyDescent="0.35">
      <c r="A41" t="s">
        <v>246</v>
      </c>
      <c r="B41" t="s">
        <v>111</v>
      </c>
      <c r="C41" t="s">
        <v>112</v>
      </c>
      <c r="D41" t="s">
        <v>34</v>
      </c>
      <c r="E41" t="s">
        <v>35</v>
      </c>
      <c r="F41" t="s">
        <v>180</v>
      </c>
      <c r="G41" t="s">
        <v>177</v>
      </c>
      <c r="H41" t="s">
        <v>113</v>
      </c>
      <c r="I41" t="s">
        <v>60</v>
      </c>
      <c r="J41" t="s">
        <v>114</v>
      </c>
    </row>
    <row r="42" spans="1:10" x14ac:dyDescent="0.35">
      <c r="A42" t="s">
        <v>246</v>
      </c>
      <c r="B42" t="s">
        <v>111</v>
      </c>
      <c r="C42" t="s">
        <v>115</v>
      </c>
      <c r="D42" t="s">
        <v>34</v>
      </c>
      <c r="E42" t="s">
        <v>35</v>
      </c>
      <c r="F42" t="s">
        <v>180</v>
      </c>
      <c r="G42" t="s">
        <v>177</v>
      </c>
      <c r="H42" t="s">
        <v>116</v>
      </c>
      <c r="I42" t="s">
        <v>60</v>
      </c>
      <c r="J42" t="s">
        <v>117</v>
      </c>
    </row>
    <row r="43" spans="1:10" x14ac:dyDescent="0.35">
      <c r="A43" t="s">
        <v>246</v>
      </c>
      <c r="B43" t="s">
        <v>111</v>
      </c>
      <c r="C43" t="s">
        <v>118</v>
      </c>
      <c r="D43" t="s">
        <v>34</v>
      </c>
      <c r="E43" t="s">
        <v>35</v>
      </c>
      <c r="F43" t="s">
        <v>180</v>
      </c>
      <c r="G43" t="s">
        <v>177</v>
      </c>
      <c r="H43" t="s">
        <v>119</v>
      </c>
      <c r="I43" t="s">
        <v>60</v>
      </c>
      <c r="J43" t="s">
        <v>120</v>
      </c>
    </row>
    <row r="44" spans="1:10" x14ac:dyDescent="0.35">
      <c r="A44" t="s">
        <v>246</v>
      </c>
      <c r="B44" t="s">
        <v>111</v>
      </c>
      <c r="C44" t="s">
        <v>121</v>
      </c>
      <c r="D44" t="s">
        <v>34</v>
      </c>
      <c r="E44" t="s">
        <v>35</v>
      </c>
      <c r="F44" t="s">
        <v>180</v>
      </c>
      <c r="G44" t="s">
        <v>177</v>
      </c>
      <c r="H44" t="s">
        <v>122</v>
      </c>
      <c r="I44" t="s">
        <v>60</v>
      </c>
      <c r="J44" t="s">
        <v>123</v>
      </c>
    </row>
    <row r="45" spans="1:10" x14ac:dyDescent="0.35">
      <c r="A45" t="s">
        <v>246</v>
      </c>
      <c r="B45" t="s">
        <v>111</v>
      </c>
      <c r="C45" t="s">
        <v>124</v>
      </c>
      <c r="D45" t="s">
        <v>34</v>
      </c>
      <c r="E45" t="s">
        <v>35</v>
      </c>
      <c r="F45" t="s">
        <v>180</v>
      </c>
      <c r="G45" t="s">
        <v>177</v>
      </c>
      <c r="H45" t="s">
        <v>113</v>
      </c>
      <c r="I45" t="s">
        <v>60</v>
      </c>
      <c r="J45" t="s">
        <v>125</v>
      </c>
    </row>
    <row r="46" spans="1:10" x14ac:dyDescent="0.35">
      <c r="A46" t="s">
        <v>246</v>
      </c>
      <c r="B46" t="s">
        <v>111</v>
      </c>
      <c r="C46" t="s">
        <v>126</v>
      </c>
      <c r="D46" t="s">
        <v>34</v>
      </c>
      <c r="E46" t="s">
        <v>35</v>
      </c>
      <c r="F46" t="s">
        <v>180</v>
      </c>
      <c r="G46" t="s">
        <v>177</v>
      </c>
      <c r="H46" t="s">
        <v>113</v>
      </c>
      <c r="I46" t="s">
        <v>60</v>
      </c>
      <c r="J46" t="s">
        <v>127</v>
      </c>
    </row>
    <row r="47" spans="1:10" x14ac:dyDescent="0.35">
      <c r="A47" t="s">
        <v>246</v>
      </c>
      <c r="B47" t="s">
        <v>111</v>
      </c>
      <c r="C47" t="s">
        <v>128</v>
      </c>
      <c r="D47" t="s">
        <v>34</v>
      </c>
      <c r="E47" t="s">
        <v>35</v>
      </c>
      <c r="F47" t="s">
        <v>180</v>
      </c>
      <c r="G47" t="s">
        <v>177</v>
      </c>
      <c r="H47" t="s">
        <v>113</v>
      </c>
      <c r="I47" t="s">
        <v>60</v>
      </c>
      <c r="J47" t="s">
        <v>129</v>
      </c>
    </row>
    <row r="48" spans="1:10" x14ac:dyDescent="0.35">
      <c r="A48" t="s">
        <v>246</v>
      </c>
      <c r="B48" t="s">
        <v>130</v>
      </c>
      <c r="C48" t="s">
        <v>131</v>
      </c>
      <c r="D48" t="s">
        <v>9</v>
      </c>
      <c r="E48" t="s">
        <v>10</v>
      </c>
      <c r="F48" t="s">
        <v>170</v>
      </c>
      <c r="G48" t="s">
        <v>171</v>
      </c>
      <c r="H48" t="s">
        <v>132</v>
      </c>
      <c r="I48" t="s">
        <v>12</v>
      </c>
      <c r="J48" t="s">
        <v>133</v>
      </c>
    </row>
    <row r="49" spans="1:10" x14ac:dyDescent="0.35">
      <c r="A49" t="s">
        <v>246</v>
      </c>
      <c r="B49" t="s">
        <v>130</v>
      </c>
      <c r="C49" t="s">
        <v>134</v>
      </c>
      <c r="D49" t="s">
        <v>9</v>
      </c>
      <c r="E49" t="s">
        <v>10</v>
      </c>
      <c r="F49" t="s">
        <v>181</v>
      </c>
      <c r="G49" t="s">
        <v>182</v>
      </c>
      <c r="H49" t="s">
        <v>135</v>
      </c>
      <c r="I49" t="s">
        <v>12</v>
      </c>
      <c r="J49" t="s">
        <v>136</v>
      </c>
    </row>
    <row r="50" spans="1:10" x14ac:dyDescent="0.35">
      <c r="A50" t="s">
        <v>246</v>
      </c>
      <c r="B50" t="s">
        <v>130</v>
      </c>
      <c r="C50" t="s">
        <v>137</v>
      </c>
      <c r="D50" t="s">
        <v>9</v>
      </c>
      <c r="E50" t="s">
        <v>10</v>
      </c>
      <c r="F50" t="s">
        <v>170</v>
      </c>
      <c r="G50" t="s">
        <v>171</v>
      </c>
      <c r="H50" t="s">
        <v>132</v>
      </c>
      <c r="I50" t="s">
        <v>12</v>
      </c>
      <c r="J50" t="s">
        <v>138</v>
      </c>
    </row>
    <row r="51" spans="1:10" x14ac:dyDescent="0.35">
      <c r="A51" t="s">
        <v>246</v>
      </c>
      <c r="B51" t="s">
        <v>130</v>
      </c>
      <c r="C51" t="s">
        <v>139</v>
      </c>
      <c r="D51" t="s">
        <v>9</v>
      </c>
      <c r="E51" t="s">
        <v>10</v>
      </c>
      <c r="F51" t="s">
        <v>170</v>
      </c>
      <c r="G51" t="s">
        <v>171</v>
      </c>
      <c r="H51" t="s">
        <v>132</v>
      </c>
      <c r="I51" t="s">
        <v>12</v>
      </c>
      <c r="J51" t="s">
        <v>140</v>
      </c>
    </row>
    <row r="52" spans="1:10" x14ac:dyDescent="0.35">
      <c r="A52" t="s">
        <v>246</v>
      </c>
      <c r="B52" t="s">
        <v>130</v>
      </c>
      <c r="C52" t="s">
        <v>141</v>
      </c>
      <c r="D52" t="s">
        <v>9</v>
      </c>
      <c r="E52" t="s">
        <v>10</v>
      </c>
      <c r="F52" t="s">
        <v>170</v>
      </c>
      <c r="G52" t="s">
        <v>171</v>
      </c>
      <c r="H52" t="s">
        <v>142</v>
      </c>
      <c r="I52" t="s">
        <v>12</v>
      </c>
      <c r="J52" t="s">
        <v>143</v>
      </c>
    </row>
    <row r="53" spans="1:10" x14ac:dyDescent="0.35">
      <c r="A53" t="s">
        <v>246</v>
      </c>
      <c r="B53" t="s">
        <v>130</v>
      </c>
      <c r="C53" t="s">
        <v>144</v>
      </c>
      <c r="D53" t="s">
        <v>9</v>
      </c>
      <c r="E53" t="s">
        <v>10</v>
      </c>
      <c r="F53" t="s">
        <v>181</v>
      </c>
      <c r="G53" t="s">
        <v>182</v>
      </c>
      <c r="H53" t="s">
        <v>145</v>
      </c>
      <c r="I53" t="s">
        <v>12</v>
      </c>
      <c r="J53" t="s">
        <v>146</v>
      </c>
    </row>
    <row r="54" spans="1:10" x14ac:dyDescent="0.35">
      <c r="A54" t="s">
        <v>246</v>
      </c>
      <c r="B54" t="s">
        <v>130</v>
      </c>
      <c r="C54" t="s">
        <v>147</v>
      </c>
      <c r="D54" t="s">
        <v>9</v>
      </c>
      <c r="E54" t="s">
        <v>10</v>
      </c>
      <c r="F54" t="s">
        <v>170</v>
      </c>
      <c r="G54" t="s">
        <v>171</v>
      </c>
      <c r="H54" t="s">
        <v>132</v>
      </c>
      <c r="I54" t="s">
        <v>12</v>
      </c>
      <c r="J54" t="s">
        <v>148</v>
      </c>
    </row>
    <row r="55" spans="1:10" x14ac:dyDescent="0.35">
      <c r="A55" t="s">
        <v>244</v>
      </c>
      <c r="B55" t="s">
        <v>149</v>
      </c>
      <c r="C55" t="s">
        <v>150</v>
      </c>
      <c r="D55" t="s">
        <v>9</v>
      </c>
      <c r="E55" t="s">
        <v>10</v>
      </c>
      <c r="F55" t="s">
        <v>170</v>
      </c>
      <c r="G55" t="s">
        <v>171</v>
      </c>
      <c r="H55" t="s">
        <v>11</v>
      </c>
      <c r="I55" t="s">
        <v>12</v>
      </c>
      <c r="J55" t="s">
        <v>151</v>
      </c>
    </row>
    <row r="56" spans="1:10" x14ac:dyDescent="0.35">
      <c r="A56" t="s">
        <v>244</v>
      </c>
      <c r="B56" t="s">
        <v>152</v>
      </c>
      <c r="C56" t="s">
        <v>153</v>
      </c>
      <c r="D56" t="s">
        <v>9</v>
      </c>
      <c r="E56" t="s">
        <v>10</v>
      </c>
      <c r="F56" t="s">
        <v>170</v>
      </c>
      <c r="G56" t="s">
        <v>171</v>
      </c>
      <c r="H56" t="s">
        <v>66</v>
      </c>
      <c r="I56" t="s">
        <v>12</v>
      </c>
      <c r="J56" t="s">
        <v>154</v>
      </c>
    </row>
    <row r="57" spans="1:10" x14ac:dyDescent="0.35">
      <c r="A57" t="s">
        <v>244</v>
      </c>
      <c r="B57" t="s">
        <v>152</v>
      </c>
      <c r="C57" t="s">
        <v>155</v>
      </c>
      <c r="D57" t="s">
        <v>9</v>
      </c>
      <c r="E57" t="s">
        <v>10</v>
      </c>
      <c r="F57" t="s">
        <v>170</v>
      </c>
      <c r="G57" t="s">
        <v>171</v>
      </c>
      <c r="H57" t="s">
        <v>156</v>
      </c>
      <c r="I57" t="s">
        <v>12</v>
      </c>
      <c r="J57" t="s">
        <v>157</v>
      </c>
    </row>
    <row r="58" spans="1:10" x14ac:dyDescent="0.35">
      <c r="A58" t="s">
        <v>201</v>
      </c>
      <c r="B58" t="s">
        <v>158</v>
      </c>
      <c r="C58" t="s">
        <v>159</v>
      </c>
      <c r="D58" t="s">
        <v>9</v>
      </c>
      <c r="E58" t="s">
        <v>10</v>
      </c>
      <c r="F58" t="s">
        <v>174</v>
      </c>
      <c r="G58" t="s">
        <v>183</v>
      </c>
      <c r="H58" t="s">
        <v>39</v>
      </c>
      <c r="I58" t="s">
        <v>12</v>
      </c>
      <c r="J58" t="s">
        <v>32</v>
      </c>
    </row>
    <row r="59" spans="1:10" x14ac:dyDescent="0.35">
      <c r="A59" t="s">
        <v>201</v>
      </c>
      <c r="B59" t="s">
        <v>158</v>
      </c>
      <c r="C59" t="s">
        <v>160</v>
      </c>
      <c r="D59" t="s">
        <v>9</v>
      </c>
      <c r="E59" t="s">
        <v>10</v>
      </c>
      <c r="F59" t="s">
        <v>174</v>
      </c>
      <c r="G59" t="s">
        <v>175</v>
      </c>
      <c r="H59" t="s">
        <v>161</v>
      </c>
      <c r="I59" t="s">
        <v>12</v>
      </c>
      <c r="J59" t="s">
        <v>32</v>
      </c>
    </row>
    <row r="60" spans="1:10" x14ac:dyDescent="0.35">
      <c r="A60" t="s">
        <v>201</v>
      </c>
      <c r="B60" t="s">
        <v>158</v>
      </c>
      <c r="C60" t="s">
        <v>162</v>
      </c>
      <c r="D60" t="s">
        <v>9</v>
      </c>
      <c r="E60" t="s">
        <v>10</v>
      </c>
      <c r="F60" t="s">
        <v>174</v>
      </c>
      <c r="G60" t="s">
        <v>183</v>
      </c>
      <c r="H60" t="s">
        <v>39</v>
      </c>
      <c r="I60" t="s">
        <v>12</v>
      </c>
      <c r="J60" t="s">
        <v>32</v>
      </c>
    </row>
    <row r="61" spans="1:10" x14ac:dyDescent="0.35">
      <c r="A61" t="s">
        <v>201</v>
      </c>
      <c r="B61" t="s">
        <v>163</v>
      </c>
      <c r="C61" t="s">
        <v>164</v>
      </c>
      <c r="D61" t="s">
        <v>34</v>
      </c>
      <c r="E61" t="s">
        <v>35</v>
      </c>
      <c r="F61" t="s">
        <v>174</v>
      </c>
      <c r="G61" t="s">
        <v>184</v>
      </c>
      <c r="H61" t="s">
        <v>165</v>
      </c>
      <c r="I61" t="s">
        <v>60</v>
      </c>
      <c r="J61" t="s">
        <v>166</v>
      </c>
    </row>
    <row r="62" spans="1:10" x14ac:dyDescent="0.35">
      <c r="A62" t="s">
        <v>201</v>
      </c>
      <c r="B62" t="s">
        <v>163</v>
      </c>
      <c r="C62" t="s">
        <v>167</v>
      </c>
      <c r="D62" t="s">
        <v>9</v>
      </c>
      <c r="E62" t="s">
        <v>10</v>
      </c>
      <c r="F62" t="s">
        <v>174</v>
      </c>
      <c r="G62" t="s">
        <v>185</v>
      </c>
      <c r="H62" t="s">
        <v>11</v>
      </c>
      <c r="I62" t="s">
        <v>12</v>
      </c>
      <c r="J62" t="s">
        <v>20</v>
      </c>
    </row>
  </sheetData>
  <conditionalFormatting sqref="D1:D62 F1:G62">
    <cfRule type="containsText" dxfId="105" priority="2" operator="containsText" text="non">
      <formula>NOT(ISERROR(SEARCH("non",D1)))</formula>
    </cfRule>
    <cfRule type="containsText" dxfId="104" priority="3" operator="containsText" text="part">
      <formula>NOT(ISERROR(SEARCH("part",D1)))</formula>
    </cfRule>
    <cfRule type="beginsWith" dxfId="103" priority="4" operator="beginsWith" text="Recyc">
      <formula>LEFT(D1,LEN("Recyc"))="Recyc"</formula>
    </cfRule>
  </conditionalFormatting>
  <conditionalFormatting sqref="I2:I62">
    <cfRule type="containsText" dxfId="102" priority="1" operator="containsText" text="Yes">
      <formula>NOT(ISERROR(SEARCH("Yes",I2)))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4DC0-3E98-484B-A105-47178A9A0758}">
  <dimension ref="A1:E22"/>
  <sheetViews>
    <sheetView workbookViewId="0">
      <selection activeCell="A19" sqref="A19"/>
    </sheetView>
  </sheetViews>
  <sheetFormatPr defaultRowHeight="14.5" x14ac:dyDescent="0.35"/>
  <cols>
    <col min="1" max="1" width="47.90625" bestFit="1" customWidth="1"/>
    <col min="2" max="2" width="19.54296875" bestFit="1" customWidth="1"/>
    <col min="3" max="3" width="25.1796875" bestFit="1" customWidth="1"/>
    <col min="4" max="4" width="16.1796875" bestFit="1" customWidth="1"/>
    <col min="5" max="5" width="104.26953125" bestFit="1" customWidth="1"/>
  </cols>
  <sheetData>
    <row r="1" spans="1:5" x14ac:dyDescent="0.35">
      <c r="A1" s="1" t="s">
        <v>186</v>
      </c>
      <c r="B1" s="1" t="s">
        <v>187</v>
      </c>
      <c r="C1" s="1" t="s">
        <v>188</v>
      </c>
      <c r="D1" s="1" t="s">
        <v>2</v>
      </c>
      <c r="E1" s="1" t="s">
        <v>6</v>
      </c>
    </row>
    <row r="2" spans="1:5" x14ac:dyDescent="0.35">
      <c r="A2" t="s">
        <v>7</v>
      </c>
      <c r="B2" t="s">
        <v>244</v>
      </c>
      <c r="C2" t="s">
        <v>189</v>
      </c>
      <c r="D2" t="s">
        <v>9</v>
      </c>
      <c r="E2" t="s">
        <v>190</v>
      </c>
    </row>
    <row r="3" spans="1:5" x14ac:dyDescent="0.35">
      <c r="A3" t="s">
        <v>64</v>
      </c>
      <c r="B3" t="s">
        <v>244</v>
      </c>
      <c r="C3" t="s">
        <v>191</v>
      </c>
      <c r="D3" t="s">
        <v>9</v>
      </c>
      <c r="E3" t="s">
        <v>67</v>
      </c>
    </row>
    <row r="4" spans="1:5" x14ac:dyDescent="0.35">
      <c r="A4" t="s">
        <v>152</v>
      </c>
      <c r="B4" t="s">
        <v>244</v>
      </c>
      <c r="C4" t="s">
        <v>192</v>
      </c>
      <c r="D4" t="s">
        <v>9</v>
      </c>
      <c r="E4" t="s">
        <v>154</v>
      </c>
    </row>
    <row r="5" spans="1:5" x14ac:dyDescent="0.35">
      <c r="A5" t="s">
        <v>150</v>
      </c>
      <c r="B5" t="s">
        <v>244</v>
      </c>
      <c r="C5" t="s">
        <v>193</v>
      </c>
      <c r="D5" t="s">
        <v>9</v>
      </c>
      <c r="E5" t="s">
        <v>194</v>
      </c>
    </row>
    <row r="6" spans="1:5" x14ac:dyDescent="0.35">
      <c r="A6" t="s">
        <v>195</v>
      </c>
      <c r="B6" t="s">
        <v>244</v>
      </c>
      <c r="C6" t="s">
        <v>196</v>
      </c>
      <c r="D6" t="s">
        <v>9</v>
      </c>
      <c r="E6" t="s">
        <v>197</v>
      </c>
    </row>
    <row r="7" spans="1:5" x14ac:dyDescent="0.35">
      <c r="A7" t="s">
        <v>198</v>
      </c>
      <c r="B7" t="s">
        <v>244</v>
      </c>
      <c r="C7" t="s">
        <v>199</v>
      </c>
      <c r="D7" t="s">
        <v>34</v>
      </c>
      <c r="E7" t="s">
        <v>200</v>
      </c>
    </row>
    <row r="8" spans="1:5" x14ac:dyDescent="0.35">
      <c r="A8" t="s">
        <v>29</v>
      </c>
      <c r="B8" t="s">
        <v>201</v>
      </c>
      <c r="C8" t="s">
        <v>202</v>
      </c>
      <c r="D8" t="s">
        <v>9</v>
      </c>
      <c r="E8" t="s">
        <v>203</v>
      </c>
    </row>
    <row r="9" spans="1:5" x14ac:dyDescent="0.35">
      <c r="A9" t="s">
        <v>23</v>
      </c>
      <c r="B9" t="s">
        <v>201</v>
      </c>
      <c r="C9" t="s">
        <v>204</v>
      </c>
      <c r="D9" t="s">
        <v>9</v>
      </c>
      <c r="E9" t="s">
        <v>205</v>
      </c>
    </row>
    <row r="10" spans="1:5" x14ac:dyDescent="0.35">
      <c r="A10" t="s">
        <v>206</v>
      </c>
      <c r="B10" t="s">
        <v>201</v>
      </c>
      <c r="C10" t="s">
        <v>207</v>
      </c>
      <c r="D10" t="s">
        <v>9</v>
      </c>
      <c r="E10" t="s">
        <v>208</v>
      </c>
    </row>
    <row r="11" spans="1:5" x14ac:dyDescent="0.35">
      <c r="A11" t="s">
        <v>209</v>
      </c>
      <c r="B11" t="s">
        <v>201</v>
      </c>
      <c r="C11" t="s">
        <v>210</v>
      </c>
      <c r="D11" t="s">
        <v>9</v>
      </c>
      <c r="E11" t="s">
        <v>211</v>
      </c>
    </row>
    <row r="12" spans="1:5" x14ac:dyDescent="0.35">
      <c r="A12" t="s">
        <v>163</v>
      </c>
      <c r="B12" t="s">
        <v>201</v>
      </c>
      <c r="C12" t="s">
        <v>212</v>
      </c>
      <c r="D12" t="s">
        <v>34</v>
      </c>
      <c r="E12" t="s">
        <v>213</v>
      </c>
    </row>
    <row r="13" spans="1:5" x14ac:dyDescent="0.35">
      <c r="A13" t="s">
        <v>214</v>
      </c>
      <c r="B13" t="s">
        <v>201</v>
      </c>
      <c r="C13" t="s">
        <v>215</v>
      </c>
      <c r="D13" t="s">
        <v>9</v>
      </c>
      <c r="E13" t="s">
        <v>216</v>
      </c>
    </row>
    <row r="14" spans="1:5" x14ac:dyDescent="0.35">
      <c r="A14" t="s">
        <v>217</v>
      </c>
      <c r="B14" t="s">
        <v>201</v>
      </c>
      <c r="C14" t="s">
        <v>218</v>
      </c>
      <c r="D14" t="s">
        <v>34</v>
      </c>
      <c r="E14" t="s">
        <v>219</v>
      </c>
    </row>
    <row r="15" spans="1:5" x14ac:dyDescent="0.35">
      <c r="A15" t="s">
        <v>55</v>
      </c>
      <c r="B15" t="s">
        <v>245</v>
      </c>
      <c r="C15" t="s">
        <v>220</v>
      </c>
      <c r="D15" t="s">
        <v>57</v>
      </c>
      <c r="E15" t="s">
        <v>221</v>
      </c>
    </row>
    <row r="16" spans="1:5" x14ac:dyDescent="0.35">
      <c r="A16" t="s">
        <v>68</v>
      </c>
      <c r="B16" t="s">
        <v>245</v>
      </c>
      <c r="C16" t="s">
        <v>222</v>
      </c>
      <c r="D16" t="s">
        <v>57</v>
      </c>
      <c r="E16" t="s">
        <v>223</v>
      </c>
    </row>
    <row r="17" spans="1:5" x14ac:dyDescent="0.35">
      <c r="A17" t="s">
        <v>224</v>
      </c>
      <c r="B17" t="s">
        <v>245</v>
      </c>
      <c r="C17" t="s">
        <v>225</v>
      </c>
      <c r="D17" t="s">
        <v>57</v>
      </c>
      <c r="E17" t="s">
        <v>226</v>
      </c>
    </row>
    <row r="18" spans="1:5" x14ac:dyDescent="0.35">
      <c r="A18" t="s">
        <v>227</v>
      </c>
      <c r="B18" t="s">
        <v>246</v>
      </c>
      <c r="C18" t="s">
        <v>228</v>
      </c>
      <c r="D18" t="s">
        <v>35</v>
      </c>
      <c r="E18" t="s">
        <v>229</v>
      </c>
    </row>
    <row r="19" spans="1:5" x14ac:dyDescent="0.35">
      <c r="A19" t="s">
        <v>230</v>
      </c>
      <c r="B19" t="s">
        <v>246</v>
      </c>
      <c r="C19" t="s">
        <v>231</v>
      </c>
      <c r="D19" t="s">
        <v>9</v>
      </c>
      <c r="E19" t="s">
        <v>232</v>
      </c>
    </row>
    <row r="20" spans="1:5" x14ac:dyDescent="0.35">
      <c r="A20" t="s">
        <v>233</v>
      </c>
      <c r="B20" t="s">
        <v>246</v>
      </c>
      <c r="C20" t="s">
        <v>234</v>
      </c>
      <c r="D20" t="s">
        <v>35</v>
      </c>
      <c r="E20" t="s">
        <v>235</v>
      </c>
    </row>
    <row r="21" spans="1:5" x14ac:dyDescent="0.35">
      <c r="A21" t="s">
        <v>236</v>
      </c>
      <c r="B21" t="s">
        <v>237</v>
      </c>
      <c r="C21" t="s">
        <v>238</v>
      </c>
      <c r="D21" t="s">
        <v>34</v>
      </c>
      <c r="E21" t="s">
        <v>239</v>
      </c>
    </row>
    <row r="22" spans="1:5" x14ac:dyDescent="0.35">
      <c r="A22" t="s">
        <v>240</v>
      </c>
      <c r="B22" t="s">
        <v>241</v>
      </c>
      <c r="C22" t="s">
        <v>242</v>
      </c>
      <c r="D22" t="s">
        <v>34</v>
      </c>
      <c r="E22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Table_Materials</vt:lpstr>
      <vt:lpstr>Materials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Busch</dc:creator>
  <cp:lastModifiedBy>Pablo Busch</cp:lastModifiedBy>
  <dcterms:created xsi:type="dcterms:W3CDTF">2026-04-13T18:04:08Z</dcterms:created>
  <dcterms:modified xsi:type="dcterms:W3CDTF">2026-05-06T17:33:22Z</dcterms:modified>
</cp:coreProperties>
</file>