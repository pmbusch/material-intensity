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seaverwang/Documents/Industrial outputs and decarbonization/Industrial inputs python model/Nature Geoscience submission docs/Joule/peer review round 2/"/>
    </mc:Choice>
  </mc:AlternateContent>
  <xr:revisionPtr revIDLastSave="0" documentId="13_ncr:1_{49F6D8BC-07AC-264D-9E35-03413A9A30D8}" xr6:coauthVersionLast="47" xr6:coauthVersionMax="47" xr10:uidLastSave="{00000000-0000-0000-0000-000000000000}"/>
  <bookViews>
    <workbookView xWindow="840" yWindow="500" windowWidth="24620" windowHeight="16480" xr2:uid="{00000000-000D-0000-FFFF-FFFF00000000}"/>
  </bookViews>
  <sheets>
    <sheet name="Readme" sheetId="15" r:id="rId1"/>
    <sheet name="Master - all intensity values" sheetId="14" r:id="rId2"/>
    <sheet name="Onshoreoffshore wind refs and c" sheetId="2" r:id="rId3"/>
    <sheet name="Solar refs and calcs" sheetId="4" r:id="rId4"/>
    <sheet name="Fossil fuels refs and calcs" sheetId="6" r:id="rId5"/>
    <sheet name="Nuclear refs and calcs" sheetId="8" r:id="rId6"/>
    <sheet name="Hydro refs and calcs" sheetId="10" r:id="rId7"/>
    <sheet name="Geothermal refs and calcs" sheetId="12" r:id="rId8"/>
    <sheet name="Concrete assumptions" sheetId="13"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51" i="12" l="1"/>
  <c r="J51" i="12" s="1"/>
  <c r="I52" i="12"/>
  <c r="J52" i="12" s="1"/>
  <c r="L7" i="12"/>
  <c r="I5" i="10"/>
  <c r="I7" i="10"/>
  <c r="E8" i="10"/>
  <c r="F8" i="10"/>
  <c r="C8" i="10" s="1"/>
  <c r="F9" i="10"/>
  <c r="E10" i="10"/>
  <c r="F10" i="10"/>
  <c r="B76" i="4"/>
  <c r="B71" i="6"/>
  <c r="B70" i="6"/>
  <c r="B75" i="6" s="1"/>
  <c r="B69" i="6"/>
  <c r="B99" i="6"/>
  <c r="B98" i="6"/>
  <c r="B46" i="6"/>
  <c r="B50" i="6" s="1"/>
  <c r="B55" i="6" s="1"/>
  <c r="C46" i="6"/>
  <c r="C50" i="6" s="1"/>
  <c r="B47" i="6"/>
  <c r="B51" i="6" s="1"/>
  <c r="C47" i="6"/>
  <c r="C40" i="6"/>
  <c r="E46" i="6" s="1"/>
  <c r="E50" i="6" s="1"/>
  <c r="E55" i="6" s="1"/>
  <c r="B40" i="6"/>
  <c r="D46" i="6" s="1"/>
  <c r="D50" i="6" s="1"/>
  <c r="D55" i="6" s="1"/>
  <c r="C51" i="10" l="1"/>
  <c r="C52" i="10"/>
  <c r="C54" i="10"/>
  <c r="D54" i="10" s="1"/>
  <c r="E54" i="10" s="1"/>
  <c r="C55" i="10"/>
  <c r="D55" i="10" s="1"/>
  <c r="E55" i="10" s="1"/>
  <c r="C58" i="10"/>
  <c r="B72" i="12" l="1"/>
  <c r="C72" i="12" s="1"/>
  <c r="B71" i="12"/>
  <c r="C71" i="12" s="1"/>
  <c r="B70" i="12"/>
  <c r="C70" i="12" s="1"/>
  <c r="B69" i="12"/>
  <c r="C69" i="12" s="1"/>
  <c r="B68" i="12"/>
  <c r="C68" i="12" s="1"/>
  <c r="B67" i="12"/>
  <c r="C67" i="12" s="1"/>
  <c r="B57" i="12"/>
  <c r="C57" i="12" s="1"/>
  <c r="H54" i="12"/>
  <c r="I54" i="12" s="1"/>
  <c r="J54" i="12" s="1"/>
  <c r="H53" i="12"/>
  <c r="I53" i="12" s="1"/>
  <c r="J53" i="12" s="1"/>
  <c r="B45" i="12"/>
  <c r="C45" i="12" s="1"/>
  <c r="D45" i="12" s="1"/>
  <c r="B44" i="12"/>
  <c r="C44" i="12" s="1"/>
  <c r="D44" i="12" s="1"/>
  <c r="B43" i="12"/>
  <c r="C43" i="12" s="1"/>
  <c r="D43" i="12" s="1"/>
  <c r="B42" i="12"/>
  <c r="C42" i="12" s="1"/>
  <c r="D42" i="12" s="1"/>
  <c r="B41" i="12"/>
  <c r="C41" i="12" s="1"/>
  <c r="D41" i="12" s="1"/>
  <c r="B40" i="12"/>
  <c r="C40" i="12" s="1"/>
  <c r="D40" i="12" s="1"/>
  <c r="B39" i="12"/>
  <c r="C39" i="12" s="1"/>
  <c r="D39" i="12" s="1"/>
  <c r="B38" i="12"/>
  <c r="C38" i="12" s="1"/>
  <c r="D38" i="12" s="1"/>
  <c r="B37" i="12"/>
  <c r="B36" i="12"/>
  <c r="C36" i="12" s="1"/>
  <c r="D36" i="12" s="1"/>
  <c r="J11" i="12"/>
  <c r="H11" i="12" s="1"/>
  <c r="J8" i="12"/>
  <c r="G8" i="12" s="1"/>
  <c r="D32" i="10"/>
  <c r="D36" i="10" s="1"/>
  <c r="G36" i="10" s="1"/>
  <c r="C32" i="10"/>
  <c r="C36" i="10" s="1"/>
  <c r="F36" i="10" s="1"/>
  <c r="B32" i="10"/>
  <c r="B36" i="10" s="1"/>
  <c r="E36" i="10" s="1"/>
  <c r="D31" i="10"/>
  <c r="D35" i="10" s="1"/>
  <c r="G35" i="10" s="1"/>
  <c r="C31" i="10"/>
  <c r="C35" i="10" s="1"/>
  <c r="F35" i="10" s="1"/>
  <c r="B31" i="10"/>
  <c r="B35" i="10" s="1"/>
  <c r="E35" i="10" s="1"/>
  <c r="C10" i="10"/>
  <c r="B10" i="10"/>
  <c r="C9" i="10"/>
  <c r="B9" i="10"/>
  <c r="C14" i="10"/>
  <c r="C18" i="10" s="1"/>
  <c r="E18" i="10" s="1"/>
  <c r="B8" i="10"/>
  <c r="B116" i="8"/>
  <c r="B120" i="8" s="1"/>
  <c r="C120" i="8" s="1"/>
  <c r="B115" i="8"/>
  <c r="B119" i="8" s="1"/>
  <c r="C119" i="8" s="1"/>
  <c r="B87" i="8"/>
  <c r="B91" i="8" s="1"/>
  <c r="C91" i="8" s="1"/>
  <c r="B86" i="8"/>
  <c r="B90" i="8" s="1"/>
  <c r="C90" i="8" s="1"/>
  <c r="B52" i="8"/>
  <c r="B39" i="8"/>
  <c r="F12" i="8"/>
  <c r="F14" i="8" s="1"/>
  <c r="E12" i="8"/>
  <c r="E14" i="8" s="1"/>
  <c r="D12" i="8"/>
  <c r="D14" i="8" s="1"/>
  <c r="C12" i="8"/>
  <c r="C14" i="8" s="1"/>
  <c r="B12" i="8"/>
  <c r="B14" i="8" s="1"/>
  <c r="C21" i="8"/>
  <c r="E21" i="8" s="1"/>
  <c r="G21" i="8" s="1"/>
  <c r="B21" i="8"/>
  <c r="D21" i="8" s="1"/>
  <c r="F21" i="8" s="1"/>
  <c r="F11" i="8"/>
  <c r="F13" i="8" s="1"/>
  <c r="E11" i="8"/>
  <c r="E13" i="8" s="1"/>
  <c r="D11" i="8"/>
  <c r="D13" i="8" s="1"/>
  <c r="C11" i="8"/>
  <c r="C13" i="8" s="1"/>
  <c r="B11" i="8"/>
  <c r="B13" i="8" s="1"/>
  <c r="C20" i="8"/>
  <c r="E20" i="8" s="1"/>
  <c r="G20" i="8" s="1"/>
  <c r="B20" i="8"/>
  <c r="D20" i="8" s="1"/>
  <c r="F20" i="8" s="1"/>
  <c r="C205" i="6"/>
  <c r="C204" i="6"/>
  <c r="C203" i="6"/>
  <c r="D203" i="6" s="1"/>
  <c r="C202" i="6"/>
  <c r="B184" i="6"/>
  <c r="B183" i="6"/>
  <c r="C173" i="6"/>
  <c r="C189" i="6" s="1"/>
  <c r="C194" i="6" s="1"/>
  <c r="B173" i="6"/>
  <c r="C182" i="6"/>
  <c r="B182" i="6"/>
  <c r="B165" i="6"/>
  <c r="D181" i="6"/>
  <c r="C181" i="6"/>
  <c r="D180" i="6"/>
  <c r="C180" i="6"/>
  <c r="B179" i="6"/>
  <c r="C142" i="6"/>
  <c r="B148" i="6"/>
  <c r="B152" i="6" s="1"/>
  <c r="B157" i="6" s="1"/>
  <c r="C141" i="6"/>
  <c r="C147" i="6" s="1"/>
  <c r="C151" i="6" s="1"/>
  <c r="C156" i="6" s="1"/>
  <c r="B147" i="6"/>
  <c r="B151" i="6" s="1"/>
  <c r="B156" i="6" s="1"/>
  <c r="B120" i="6"/>
  <c r="C120" i="6" s="1"/>
  <c r="C116" i="6"/>
  <c r="B126" i="6"/>
  <c r="B130" i="6" s="1"/>
  <c r="B135" i="6" s="1"/>
  <c r="C115" i="6"/>
  <c r="C126" i="6" s="1"/>
  <c r="C130" i="6" s="1"/>
  <c r="C135" i="6" s="1"/>
  <c r="B125" i="6"/>
  <c r="B129" i="6" s="1"/>
  <c r="B134" i="6" s="1"/>
  <c r="B93" i="6"/>
  <c r="D93" i="6" s="1"/>
  <c r="B103" i="6"/>
  <c r="B108" i="6" s="1"/>
  <c r="D92" i="6"/>
  <c r="B102" i="6"/>
  <c r="B107" i="6" s="1"/>
  <c r="C71" i="6"/>
  <c r="B76" i="6"/>
  <c r="B81" i="6" s="1"/>
  <c r="B86" i="6" s="1"/>
  <c r="C41" i="6"/>
  <c r="E47" i="6" s="1"/>
  <c r="E51" i="6" s="1"/>
  <c r="E56" i="6" s="1"/>
  <c r="B41" i="6"/>
  <c r="C51" i="6"/>
  <c r="C56" i="6" s="1"/>
  <c r="C55" i="6"/>
  <c r="B17" i="6"/>
  <c r="B18" i="6" s="1"/>
  <c r="C177" i="4"/>
  <c r="C176" i="4"/>
  <c r="C175" i="4"/>
  <c r="B154" i="4"/>
  <c r="B153" i="4"/>
  <c r="B152" i="4"/>
  <c r="B151" i="4"/>
  <c r="B150" i="4"/>
  <c r="B149" i="4"/>
  <c r="B159" i="4" s="1"/>
  <c r="B163" i="4" s="1"/>
  <c r="C163" i="4" s="1"/>
  <c r="B128" i="4"/>
  <c r="B132" i="4" s="1"/>
  <c r="C132" i="4" s="1"/>
  <c r="B127" i="4"/>
  <c r="B131" i="4" s="1"/>
  <c r="C131" i="4" s="1"/>
  <c r="B108" i="4"/>
  <c r="B112" i="4" s="1"/>
  <c r="C112" i="4" s="1"/>
  <c r="B107" i="4"/>
  <c r="B111" i="4" s="1"/>
  <c r="C111" i="4" s="1"/>
  <c r="C76" i="4"/>
  <c r="E190" i="2"/>
  <c r="F190" i="2" s="1"/>
  <c r="E189" i="2"/>
  <c r="F189" i="2" s="1"/>
  <c r="B194" i="2" s="1"/>
  <c r="B198" i="2" s="1"/>
  <c r="C198" i="2" s="1"/>
  <c r="E188" i="2"/>
  <c r="F188" i="2" s="1"/>
  <c r="E187" i="2"/>
  <c r="F187" i="2" s="1"/>
  <c r="C186" i="2"/>
  <c r="B186" i="2"/>
  <c r="E186" i="2" s="1"/>
  <c r="F186" i="2" s="1"/>
  <c r="J163" i="2"/>
  <c r="I163" i="2"/>
  <c r="H163" i="2"/>
  <c r="G163" i="2"/>
  <c r="J162" i="2"/>
  <c r="I162" i="2"/>
  <c r="H162" i="2"/>
  <c r="G162" i="2"/>
  <c r="J161" i="2"/>
  <c r="I161" i="2"/>
  <c r="H161" i="2"/>
  <c r="G161" i="2"/>
  <c r="J160" i="2"/>
  <c r="E175" i="2" s="1"/>
  <c r="I160" i="2"/>
  <c r="D175" i="2" s="1"/>
  <c r="H160" i="2"/>
  <c r="C175" i="2" s="1"/>
  <c r="G160" i="2"/>
  <c r="B175" i="2" s="1"/>
  <c r="J159" i="2"/>
  <c r="E174" i="2" s="1"/>
  <c r="I159" i="2"/>
  <c r="D174" i="2" s="1"/>
  <c r="H159" i="2"/>
  <c r="C174" i="2" s="1"/>
  <c r="G159" i="2"/>
  <c r="B174" i="2" s="1"/>
  <c r="J158" i="2"/>
  <c r="I158" i="2"/>
  <c r="H158" i="2"/>
  <c r="G158" i="2"/>
  <c r="J157" i="2"/>
  <c r="I157" i="2"/>
  <c r="H157" i="2"/>
  <c r="G157" i="2"/>
  <c r="J156" i="2"/>
  <c r="I156" i="2"/>
  <c r="H156" i="2"/>
  <c r="G156" i="2"/>
  <c r="J155" i="2"/>
  <c r="I155" i="2"/>
  <c r="H155" i="2"/>
  <c r="G155" i="2"/>
  <c r="J154" i="2"/>
  <c r="I154" i="2"/>
  <c r="H154" i="2"/>
  <c r="G154" i="2"/>
  <c r="B104" i="2"/>
  <c r="B108" i="2" s="1"/>
  <c r="C108" i="2" s="1"/>
  <c r="B103" i="2"/>
  <c r="B107" i="2" s="1"/>
  <c r="C107" i="2" s="1"/>
  <c r="B79" i="2"/>
  <c r="B78" i="2"/>
  <c r="C62" i="2"/>
  <c r="C61" i="2"/>
  <c r="C60" i="2"/>
  <c r="C59" i="2"/>
  <c r="C58" i="2"/>
  <c r="C57" i="2"/>
  <c r="C56" i="2"/>
  <c r="B66" i="2" s="1"/>
  <c r="B70" i="2" s="1"/>
  <c r="C70" i="2" s="1"/>
  <c r="C40" i="2"/>
  <c r="C39" i="2"/>
  <c r="C38" i="2"/>
  <c r="C37" i="2"/>
  <c r="C36" i="2"/>
  <c r="B35" i="2"/>
  <c r="C35" i="2" s="1"/>
  <c r="C34" i="2"/>
  <c r="B44" i="2" s="1"/>
  <c r="B48" i="2" s="1"/>
  <c r="C48" i="2" s="1"/>
  <c r="C18" i="2"/>
  <c r="C17" i="2"/>
  <c r="C16" i="2"/>
  <c r="C15" i="2"/>
  <c r="C14" i="2"/>
  <c r="B13" i="2"/>
  <c r="C13" i="2" s="1"/>
  <c r="C12" i="2"/>
  <c r="B21" i="2" s="1"/>
  <c r="B25" i="2" s="1"/>
  <c r="C25" i="2" s="1"/>
  <c r="C37" i="12" l="1"/>
  <c r="D37" i="12" s="1"/>
  <c r="B15" i="10"/>
  <c r="B19" i="10" s="1"/>
  <c r="D19" i="10" s="1"/>
  <c r="B14" i="10"/>
  <c r="B18" i="10" s="1"/>
  <c r="G164" i="2"/>
  <c r="B43" i="2"/>
  <c r="B47" i="2" s="1"/>
  <c r="C47" i="2" s="1"/>
  <c r="H164" i="2"/>
  <c r="C179" i="2" s="1"/>
  <c r="I164" i="2"/>
  <c r="D179" i="2" s="1"/>
  <c r="B193" i="2"/>
  <c r="B197" i="2" s="1"/>
  <c r="C197" i="2" s="1"/>
  <c r="B65" i="2"/>
  <c r="B69" i="2" s="1"/>
  <c r="C69" i="2" s="1"/>
  <c r="B22" i="2"/>
  <c r="B26" i="2" s="1"/>
  <c r="C26" i="2" s="1"/>
  <c r="J164" i="2"/>
  <c r="E179" i="2" s="1"/>
  <c r="B158" i="4"/>
  <c r="B162" i="4" s="1"/>
  <c r="C162" i="4" s="1"/>
  <c r="B175" i="6"/>
  <c r="B190" i="6"/>
  <c r="B189" i="6"/>
  <c r="C99" i="6"/>
  <c r="C98" i="6"/>
  <c r="C102" i="6" s="1"/>
  <c r="C107" i="6" s="1"/>
  <c r="D47" i="6"/>
  <c r="D51" i="6" s="1"/>
  <c r="D56" i="6" s="1"/>
  <c r="B56" i="6"/>
  <c r="E189" i="6"/>
  <c r="E194" i="6" s="1"/>
  <c r="C125" i="6"/>
  <c r="C129" i="6" s="1"/>
  <c r="C134" i="6" s="1"/>
  <c r="B23" i="6"/>
  <c r="B27" i="6" s="1"/>
  <c r="C23" i="6"/>
  <c r="B80" i="6"/>
  <c r="B85" i="6" s="1"/>
  <c r="B19" i="6"/>
  <c r="C190" i="6"/>
  <c r="C148" i="6"/>
  <c r="C152" i="6" s="1"/>
  <c r="C157" i="6" s="1"/>
  <c r="C103" i="6"/>
  <c r="C108" i="6" s="1"/>
  <c r="C70" i="6"/>
  <c r="C76" i="6" s="1"/>
  <c r="C81" i="6" s="1"/>
  <c r="C86" i="6" s="1"/>
  <c r="C175" i="6"/>
  <c r="H8" i="12"/>
  <c r="B8" i="12" s="1"/>
  <c r="G16" i="12"/>
  <c r="B16" i="12" s="1"/>
  <c r="G13" i="12"/>
  <c r="G14" i="12"/>
  <c r="G9" i="12"/>
  <c r="G12" i="12"/>
  <c r="C15" i="10"/>
  <c r="C19" i="10" s="1"/>
  <c r="E19" i="10" s="1"/>
  <c r="D18" i="10"/>
  <c r="B179" i="2"/>
  <c r="B210" i="6"/>
  <c r="B214" i="6" s="1"/>
  <c r="B219" i="6" s="1"/>
  <c r="D202" i="6"/>
  <c r="B209" i="6"/>
  <c r="B213" i="6" s="1"/>
  <c r="B218" i="6" s="1"/>
  <c r="C24" i="6"/>
  <c r="C28" i="6" s="1"/>
  <c r="B24" i="6"/>
  <c r="B28" i="6" s="1"/>
  <c r="H15" i="12"/>
  <c r="H10" i="12"/>
  <c r="H12" i="12"/>
  <c r="H14" i="12"/>
  <c r="H9" i="12"/>
  <c r="H13" i="12"/>
  <c r="G11" i="12"/>
  <c r="B11" i="12" s="1"/>
  <c r="G10" i="12"/>
  <c r="G15" i="12"/>
  <c r="B14" i="12" l="1"/>
  <c r="B10" i="12"/>
  <c r="B13" i="12"/>
  <c r="B9" i="12"/>
  <c r="B17" i="12" s="1"/>
  <c r="E190" i="6"/>
  <c r="E195" i="6" s="1"/>
  <c r="C195" i="6"/>
  <c r="C27" i="6"/>
  <c r="D27" i="6" s="1"/>
  <c r="C75" i="6"/>
  <c r="C80" i="6" s="1"/>
  <c r="C85" i="6" s="1"/>
  <c r="B15" i="12"/>
  <c r="B12" i="12"/>
  <c r="D28" i="6"/>
  <c r="C210" i="6"/>
  <c r="C214" i="6" s="1"/>
  <c r="C219" i="6" s="1"/>
  <c r="C209" i="6"/>
  <c r="C213" i="6" s="1"/>
  <c r="C218" i="6" s="1"/>
  <c r="B195" i="6"/>
  <c r="D190" i="6"/>
  <c r="D195" i="6" s="1"/>
  <c r="B194" i="6"/>
  <c r="D189" i="6"/>
  <c r="D194" i="6" s="1"/>
</calcChain>
</file>

<file path=xl/sharedStrings.xml><?xml version="1.0" encoding="utf-8"?>
<sst xmlns="http://schemas.openxmlformats.org/spreadsheetml/2006/main" count="2458" uniqueCount="624">
  <si>
    <t>Material</t>
  </si>
  <si>
    <t>Onshore_DD_PMG</t>
  </si>
  <si>
    <t>Onshore_AG</t>
  </si>
  <si>
    <t>Offshore_DD_PMG</t>
  </si>
  <si>
    <t>Offshore_AG</t>
  </si>
  <si>
    <t>Ag</t>
  </si>
  <si>
    <t>Al</t>
  </si>
  <si>
    <t>Cd</t>
  </si>
  <si>
    <t>Co</t>
  </si>
  <si>
    <t>Concrete</t>
  </si>
  <si>
    <t>Cu</t>
  </si>
  <si>
    <t>Dy</t>
  </si>
  <si>
    <t>Ga</t>
  </si>
  <si>
    <t>In</t>
  </si>
  <si>
    <t>Mn</t>
  </si>
  <si>
    <t>Nd</t>
  </si>
  <si>
    <t>Ni</t>
  </si>
  <si>
    <t>Se</t>
  </si>
  <si>
    <t>Steel</t>
  </si>
  <si>
    <t>Te</t>
  </si>
  <si>
    <t>Cement</t>
  </si>
  <si>
    <t>Fiberglass</t>
  </si>
  <si>
    <t>Assuming that for onshore wind turbines, material use of non-RE materials is the same for DD vs AG types unless explicitly stated in source. Likewise for offshore turbines.</t>
  </si>
  <si>
    <t>Assuming that onshore and offshore PM turbines have similar intensitites of rare earth usage</t>
  </si>
  <si>
    <t>GREEN = final values</t>
  </si>
  <si>
    <t>RED = rejected values</t>
  </si>
  <si>
    <t>2015 Razdan + Garrett (a)</t>
  </si>
  <si>
    <t>Life Cycle Assessment of Electricity Production from an onshore V100-2.0 MW Wind Plant</t>
  </si>
  <si>
    <t>https://www.vestas.com/~/media/vestas/about/sustainability/pdfs/lcav10020mw181215.pdf</t>
  </si>
  <si>
    <t>Numbers taken from Table 6, summed across turbines, foundations, cables, switchgears, and transformer</t>
  </si>
  <si>
    <t>Metric tons for a 50MW power plant of V100-2.0 MW onshore turbines, no permanent magnets</t>
  </si>
  <si>
    <t>tons</t>
  </si>
  <si>
    <t>tons/GW</t>
  </si>
  <si>
    <t>Notes</t>
  </si>
  <si>
    <t>Concrete C12, C30, C45, amounts unspecified. LCA used C12/15 and C30/37, also employing the latter for C45</t>
  </si>
  <si>
    <t>Conversion of tons concrete to tons cement</t>
  </si>
  <si>
    <t>Concrete volume (m^3)</t>
  </si>
  <si>
    <t>Steel/cast steel/sintered steel, sum of Unalloyed, low alloyed and Highly alloyed, plus cast iron</t>
  </si>
  <si>
    <t>Assuming 1600 kg/m^3</t>
  </si>
  <si>
    <t>Copper</t>
  </si>
  <si>
    <t>Assuming 2500 kg/m^3</t>
  </si>
  <si>
    <t>Copper alloys</t>
  </si>
  <si>
    <t>Sum of Copper and Copper alloys</t>
  </si>
  <si>
    <t>Cement (kg)</t>
  </si>
  <si>
    <t>Cement (tons)</t>
  </si>
  <si>
    <t>Aluminum and Aluminum alloys</t>
  </si>
  <si>
    <t>1600 kg/m^3 density and 165 kg/m^3 cement content</t>
  </si>
  <si>
    <t>Fiberglass (ceramic/glass)</t>
  </si>
  <si>
    <t>2500 kg/m^3 density and 400 kg/m^3 cement content</t>
  </si>
  <si>
    <t>2015 Razdan + Garrett (b)</t>
  </si>
  <si>
    <t>Life Cycle Assessment of Electricity Production from an onshore V110-2.0 MW Wind Plant</t>
  </si>
  <si>
    <t>https://www.vestas.com/~/media/vestas/about/sustainability/pdfs/lcav11020mw181215.pdf</t>
  </si>
  <si>
    <t>Metric tons for a 50MW power plant of V110-2.0 MW onshore turbines, no permanent magnets</t>
  </si>
  <si>
    <t>Steel/cast steel/sintered steel, sum of Unalloyed, low alloyed and Highly alloyed</t>
  </si>
  <si>
    <t>2011 Garrett + Ronde</t>
  </si>
  <si>
    <t>Life Cycle Assessment of Electricity Production from a V90-2.0MW Gridstreamer Wind Plant</t>
  </si>
  <si>
    <t>https://www.vestas.com/~/media/vestas/about/sustainability/pdfs/lca_v902mw_version1.pdf</t>
  </si>
  <si>
    <t>Numbers taken from Table 5, summed across turbines, foundations, cables, switchgears, and transformer</t>
  </si>
  <si>
    <t>Metric tons for a 50MW power plant of V90-2.0MW onshore turbines, containing permanent magnets</t>
  </si>
  <si>
    <t>Steel, sum of Unalloyed, low alloyed and Highly alloyed</t>
  </si>
  <si>
    <t>2011 Department of Energy</t>
  </si>
  <si>
    <t>Critical Materials Strategy</t>
  </si>
  <si>
    <t>https://www.energy.gov/sites/prod/files/2019/06/f63/DOE_CMS2011_FINAL_Full_1.pdf</t>
  </si>
  <si>
    <t>Numbers taken from page 154</t>
  </si>
  <si>
    <t>kgs per MW generation (600kg total magnet weight per MW for a PM direct drive system) converted to tons per GW generation</t>
  </si>
  <si>
    <t>This is highly consistent with weight of "magnets" in Garrett + Ronde 2011 above</t>
  </si>
  <si>
    <t>this is the low-end estimate, high-end estimate would be 24 (2-4% Dy range)</t>
  </si>
  <si>
    <t>Garcia-Olivares et al 2012</t>
  </si>
  <si>
    <t>A global renewable mix with proven technologies and common materials</t>
  </si>
  <si>
    <t>https://doi.org/10.1016/j.enpol.2011.11.018</t>
  </si>
  <si>
    <t>Numbers for Copper from Section 3.4 and Appendix C, Al from Section 3.6 and Appendix C, using 3MW non-PM Vestas V90 as model</t>
  </si>
  <si>
    <t>Metric tons/MW converted to metric tons/GW, accounting for both turbine, grid connection, transformer, etc...</t>
  </si>
  <si>
    <t>standard onshore, tons/GW</t>
  </si>
  <si>
    <t>standard offshore, tons/GW</t>
  </si>
  <si>
    <t>Aluminum</t>
  </si>
  <si>
    <t>seems far too low, excluding Al from this study</t>
  </si>
  <si>
    <t>Wilburn, 2011</t>
  </si>
  <si>
    <t>Wind Energy in the US and Materials Required for the Land-Based Wind Turbine Industry From 2010 Through 2030</t>
  </si>
  <si>
    <t>https://pubs.usgs.gov/sir/2011/5036/sir2011-5036.pdf</t>
  </si>
  <si>
    <t>Numbers from Table 5 on page 12, based on next-gen onshore wind projections</t>
  </si>
  <si>
    <t>kg/MW converted to metric tons/GW</t>
  </si>
  <si>
    <t>Steel + cast iron</t>
  </si>
  <si>
    <t>Not explicitly stated to include associated infrastructure, but checks out with Vestas LCAs</t>
  </si>
  <si>
    <t>Calculation based on Hatch
(2009) and Lifton (2009), assuming a PM turbine</t>
  </si>
  <si>
    <t>Hoenderdaal, S., Espinoza, L.T., Marscheider-Weidemann, F. and Graus, W., 2013. Can a dysprosium shortage threaten green energy technologies?. Energy, 49, pp.344-355.</t>
  </si>
  <si>
    <t>https://www.sciencedirect.com/science/article/abs/pii/S0360544212008055</t>
  </si>
  <si>
    <t>Numbers from Table 3, average of figures from collected interviews with industry experts</t>
  </si>
  <si>
    <t>Habib and Wenzel 2016</t>
  </si>
  <si>
    <t>Reviewing resource criticality assessment from a dynamic and technology specific perspective – using the case of direct-drive wind turbines.</t>
  </si>
  <si>
    <t>https://www.sciencedirect.com/science/article/abs/pii/S0959652615009920</t>
  </si>
  <si>
    <t>Numbers from Table 2, assembled with input from manufacturers</t>
  </si>
  <si>
    <t>Nd and Dy demand based partly on Habib and Wenzel 2014 (https://www.sciencedirect.com/science/article/abs/pii/S0959652614003837)</t>
  </si>
  <si>
    <t>DD PM</t>
  </si>
  <si>
    <t>PM-free gearbox</t>
  </si>
  <si>
    <t>BBF Associates, “Market study: current and projected wind and solar renewable electric generating capacity and resulting copper demand”. 2011.</t>
  </si>
  <si>
    <t>https://copperalliance.org/wp-content/uploads/2017/03/Projected-wind-solar-copper-demand-1.pdf</t>
  </si>
  <si>
    <t>Numbers for solar from Table 2, wind on Table 1</t>
  </si>
  <si>
    <t>Most sites were constructed prior to 2010</t>
  </si>
  <si>
    <t>Numbers converted from lbs/MW to tons/GW</t>
  </si>
  <si>
    <t>ONSHORE</t>
  </si>
  <si>
    <t>Meadow Lake, IN Phase II plant (99 MW; 66x1.5MW turbines)</t>
  </si>
  <si>
    <t>Designed 100 MW (50x2MW Vestas)</t>
  </si>
  <si>
    <t>Rattlesnake Rd, OR 102.9 MW (49x2.1MW)</t>
  </si>
  <si>
    <t>Meridian Way KS 105MW (35x3MW)</t>
  </si>
  <si>
    <t>Lone Star TX 400MW (200x2MW)</t>
  </si>
  <si>
    <t>I. K. Falconer (Univ. of Exeter), Metals Required for the UK’s Low Carbon Energy System: The case of copper usage in wind farms, University of Exeter, 2009</t>
  </si>
  <si>
    <t>OFFSHORE</t>
  </si>
  <si>
    <t>offshore wind</t>
  </si>
  <si>
    <t>based upon data from 14 planned or operating wind farms</t>
  </si>
  <si>
    <t>Fizaine + Court 2015, Appendix A</t>
  </si>
  <si>
    <t>Renewable electricity producing technologies and metal depletion: A sensitivity analysis using the EROI</t>
  </si>
  <si>
    <t>https://www.sciencedirect.com/science/article/abs/pii/S0921800914003681</t>
  </si>
  <si>
    <t>Numbers converted from tons/MW to tons/GW, rounded to nearest ton/GW</t>
  </si>
  <si>
    <t>Onshore wind</t>
  </si>
  <si>
    <t>Offshore wind</t>
  </si>
  <si>
    <t>Ostensibly from Ashby, M.F., 2013. Materials and the Environment: Eco-informed Material Choice.
Butterworth-Heinemann, Elsevier, 2nd edition (628 pp.) and from EDF private data, cannot conclusively confirm either</t>
  </si>
  <si>
    <t>offshore figure seems really low... perhaps not whole-plant in scope</t>
  </si>
  <si>
    <t>these seem to incorporate some hidden assumptions for onshore/offshore PM/PM-free</t>
  </si>
  <si>
    <t>Chipindula et al 2018</t>
  </si>
  <si>
    <t>Life Cycle Environmental Impact of Onshore and Offshore Wind Farms in Texas</t>
  </si>
  <si>
    <t>https://tethys.pnnl.gov/publications/life-cycle-environmental-impact-onshore-offshore-wind-farms-texas</t>
  </si>
  <si>
    <t>ASSUMPTION FOR PLANT-WIDE MATERIALS ESTIMATES</t>
  </si>
  <si>
    <t>Table A1</t>
  </si>
  <si>
    <t>Conversion to tons/GW</t>
  </si>
  <si>
    <t>2 MW offshore shallow-water turbine</t>
  </si>
  <si>
    <t>2.3 MW offshore shallow-water turbine</t>
  </si>
  <si>
    <t>2.3MW offshore deep-water turbine</t>
  </si>
  <si>
    <t>5 MW offshore deep-water turbine</t>
  </si>
  <si>
    <t>2MW offshore, tons/GW</t>
  </si>
  <si>
    <t>2.3MW offshore, tons/GW</t>
  </si>
  <si>
    <t>5MW offshore, tons/GW</t>
  </si>
  <si>
    <t>Fiberglass or carbon fiber</t>
  </si>
  <si>
    <t>Cast iron in rotor</t>
  </si>
  <si>
    <t>Cast iron in nacelle</t>
  </si>
  <si>
    <t>Steel in rotor</t>
  </si>
  <si>
    <t>does not include associated infrastructure, so these are low estimates</t>
  </si>
  <si>
    <t>Steel in nacelle</t>
  </si>
  <si>
    <t>Copper in nacelle</t>
  </si>
  <si>
    <t>Al in nacelle</t>
  </si>
  <si>
    <t>Steel in tower</t>
  </si>
  <si>
    <t>Steel in foundation</t>
  </si>
  <si>
    <t>Concrete in foundation</t>
  </si>
  <si>
    <t>Total steel + cast iron</t>
  </si>
  <si>
    <t>kg/turbine</t>
  </si>
  <si>
    <t>Offshore turbine</t>
  </si>
  <si>
    <t>kg/farm for transmission</t>
  </si>
  <si>
    <t>kg total for a 1000 MW farm</t>
  </si>
  <si>
    <t>metric tons/GW</t>
  </si>
  <si>
    <t>translated from the Danish Elsam Engineering report 186768 of March 2004 written in Danish</t>
  </si>
  <si>
    <t>https://www.vestas.com/~/media/vestas/about/sustainability/pdfs/lca_v80_2004_uk.ashx#:~:text=Vestas%20Wind%20Systems%20A%2FS%20financed%20its%20own%20participation%20in,farms%20through%20their%20life%20cycles.</t>
  </si>
  <si>
    <t>Table 5.3, assuming Vestas V80 2MW offshore turbine, excluding onshore wind findings as these are well older than 2010 (2006)</t>
  </si>
  <si>
    <t>Steel+high-strength steel+cast iron</t>
  </si>
  <si>
    <t>I'm assuming that these are non-PM turbines</t>
  </si>
  <si>
    <t>Glass fibre</t>
  </si>
  <si>
    <t>CSI_PV</t>
  </si>
  <si>
    <t>CIGS</t>
  </si>
  <si>
    <t>CDTE</t>
  </si>
  <si>
    <t>ASIGE</t>
  </si>
  <si>
    <t>CSP</t>
  </si>
  <si>
    <t>Si</t>
  </si>
  <si>
    <t>Glass</t>
  </si>
  <si>
    <t>Am assuming that usage of copper, steel, and concrete/cement, and glass in thin-film is identical to that of conventional PV</t>
  </si>
  <si>
    <t>Am assuming that Aluminum use in thin-film solar frames is 81% of that for conventional PV, based on Bodeker et al 2010</t>
  </si>
  <si>
    <t>Will list parabolic and central tower CSP as separate estimates within a single CSP category</t>
  </si>
  <si>
    <t>Kavlak et al 2015</t>
  </si>
  <si>
    <t>Metal production requirements for rapid photovoltaics deployment</t>
  </si>
  <si>
    <t>https://pubs.rsc.org/en/content/articlelanding/2015/ee/c5ee00585j#!divAbstract</t>
  </si>
  <si>
    <t>c-Si</t>
  </si>
  <si>
    <t>17,62,138</t>
  </si>
  <si>
    <t>2,4,9</t>
  </si>
  <si>
    <t>7,13,28</t>
  </si>
  <si>
    <t>17,41,161</t>
  </si>
  <si>
    <t>19,70,156</t>
  </si>
  <si>
    <t>638, 2882, 6629</t>
  </si>
  <si>
    <t>Solar</t>
  </si>
  <si>
    <t>Bodeker et al 2010</t>
  </si>
  <si>
    <t>Aluminium and Renewable Energy Systems - Prospects for the Sustainable Generation of Electricity and Heat</t>
  </si>
  <si>
    <t>http://www.world-aluminium.org/media/filer_public/2013/01/15/fl0000407.pdf</t>
  </si>
  <si>
    <t>numbers from Table 26 for solar PV ground, Table 49 for CSP</t>
  </si>
  <si>
    <t>Framed module</t>
  </si>
  <si>
    <t>Frameless CdTe module</t>
  </si>
  <si>
    <t>using the frameless CdTe figure for all thin-film types</t>
  </si>
  <si>
    <t>Springerville, AZ 6.4 MW utility-scale solar plant</t>
  </si>
  <si>
    <t>PV single Si</t>
  </si>
  <si>
    <t>PV multi Si</t>
  </si>
  <si>
    <t>PV a Si</t>
  </si>
  <si>
    <t>PV CIGS</t>
  </si>
  <si>
    <t>PV CdTe</t>
  </si>
  <si>
    <t>Cannot confirm scope includes associated infrastructure other than panels, likely not</t>
  </si>
  <si>
    <t>Cr</t>
  </si>
  <si>
    <t>Numbers differ to a fair degree from other estimates - am excluding this study</t>
  </si>
  <si>
    <t>Mo</t>
  </si>
  <si>
    <t>Pihl et al 2012</t>
  </si>
  <si>
    <t>Material constraints for concentrating solar thermal power</t>
  </si>
  <si>
    <t>https://www.sciencedirect.com/science/article/abs/pii/S036054421200374X</t>
  </si>
  <si>
    <t>Numbers from Table 3, sourced from original personal communications</t>
  </si>
  <si>
    <t>CSP trough</t>
  </si>
  <si>
    <t>CSP tower</t>
  </si>
  <si>
    <t>This is cement, not concrete. No grade given.</t>
  </si>
  <si>
    <r>
      <t xml:space="preserve">Assuming a mix of as in Flury et al 2012: </t>
    </r>
    <r>
      <rPr>
        <u/>
        <sz val="10"/>
        <color rgb="FF1155CC"/>
        <rFont val="Arial"/>
        <family val="2"/>
      </rPr>
      <t>http://esu-services.ch/fileadmin/download/publicLCI/flury-2012-hydroelectric-power-generation.pdf</t>
    </r>
  </si>
  <si>
    <t>1 m^3 of concrete has 2000 kg gravel, 127 kg water, 230 kg cement</t>
  </si>
  <si>
    <t>Assume 1 m^3 of concrete weighs 2.4 metric tons</t>
  </si>
  <si>
    <t>Mg</t>
  </si>
  <si>
    <t>multiply cement mass by 10.4347826 for concrete mass</t>
  </si>
  <si>
    <t>tons cement:</t>
  </si>
  <si>
    <t>Iron</t>
  </si>
  <si>
    <t>Silicon sand</t>
  </si>
  <si>
    <t>2018 Månberger and Stenqvist, Global metal flows in the renewable energy transition: Exploring the effects</t>
  </si>
  <si>
    <t>https://www.sciencedirect.com/science/article/pii/S0301421518302726#ec0005</t>
  </si>
  <si>
    <t>Number for silver use in conventional PV from page 228</t>
  </si>
  <si>
    <t>Other numbers in this study cite some of the papers above</t>
  </si>
  <si>
    <t>Independent calculation based on Elshkaki and Graedel 2013 (https://www.sciencedirect.com/science/article/abs/pii/S0959652613004575) and VDMA, 2017. International Technology Roadmap for Photovoltaic (ITRPV). German Engineering Federation (VDMA), Frankfurt am Main.</t>
  </si>
  <si>
    <t>Authors arrived at a range of 10-20 t/GW assuming 20% cell efficiency and 1000 W/m2 and picked lower value.</t>
  </si>
  <si>
    <t xml:space="preserve">Jean, J., Brown, P. R., Jaffe, R. L., Buonassisi, T., &amp; Bulović, V. (2015). Pathways for solar photovoltaics. Energy &amp; Environmental Science, 8(4), 1200–1219. doi:10.1039/c4ee04073b </t>
  </si>
  <si>
    <t>https://pubs.rsc.org/en/content/articlelanding/2015/ee/c4ee04073b#!divAbstract</t>
  </si>
  <si>
    <t>Numbers from Figure 7, Figure 9, data obtained from authors via email</t>
  </si>
  <si>
    <t>t/GW</t>
  </si>
  <si>
    <t>CdTe</t>
  </si>
  <si>
    <t>c-Si (sc-Si and mc-Si)</t>
  </si>
  <si>
    <t>a-Si</t>
  </si>
  <si>
    <t>US NREL DOE, 2005</t>
  </si>
  <si>
    <t>https://www.nrel.gov/docs/fy05osti/37656.pdf</t>
  </si>
  <si>
    <t xml:space="preserve">Steel </t>
  </si>
  <si>
    <t>1460, 2020</t>
  </si>
  <si>
    <t>Life-Cycle Analysis Results of Geothermal Systems in Comparison to Other Power Systems</t>
  </si>
  <si>
    <t>https://www.energy.gov/sites/prod/files/2014/02/f7/lifecycle_analysis_of_geothermal_systems.pdf</t>
  </si>
  <si>
    <t>mt/MW</t>
  </si>
  <si>
    <t>Notes:</t>
  </si>
  <si>
    <t>Pacca 2002</t>
  </si>
  <si>
    <t>Mason 2006</t>
  </si>
  <si>
    <t>Phylipsen 1995</t>
  </si>
  <si>
    <t>de Wild 2005</t>
  </si>
  <si>
    <t>Capacity (MW)</t>
  </si>
  <si>
    <t>mt/GW</t>
  </si>
  <si>
    <t>Mason 2006 estimate matches up well with other figure for Springerville, AZ</t>
  </si>
  <si>
    <t>Table 2</t>
  </si>
  <si>
    <t>Frischknecht, R., Fthenakis, V., Kim, H.C., Raugei, M., Sinha, P., Stucki, M., 2015. Life Cycle Inventories and Life Cycle Assessments of Photovoltaic Systems.</t>
  </si>
  <si>
    <t>https://www.bnl.gov/pv/files/pdf/226_Task12_LifeCycle_Inventories.pdf</t>
  </si>
  <si>
    <t>page 31</t>
  </si>
  <si>
    <t>For a 1.6 sq meter c-Si PV module with a 210 Wp module power, 0.00026 kg of Ni are used.</t>
  </si>
  <si>
    <t>1 GW/ 210 W = 4761905</t>
  </si>
  <si>
    <t>4761905*0.00026=1238 kg / GW, not including associated infrastructure</t>
  </si>
  <si>
    <t>Lists no nickel usage for CdTe solar modules</t>
  </si>
  <si>
    <t xml:space="preserve">1 t Ni per GW c-Si matches numbers presented in Elshkaki, A., &amp; Graedel, T. E. (2013). Dynamic analysis of the global metals flows and stocks in electricity generation technologies. Journal of Cleaner Production, 59, 260–273. doi:10.1016/j.jclepro.2013.07.003 </t>
  </si>
  <si>
    <t>https://www.sciencedirect.com/science/article/abs/pii/S0959652613004575?via%3Dihub</t>
  </si>
  <si>
    <t>IRENA 2017</t>
  </si>
  <si>
    <t>https://www.irena.org/-/media/Files/IRENA/Agency/Publication/2017/Jun/IRENA_Leveraging_for_Solar_PV_2017.pdf</t>
  </si>
  <si>
    <t>Plastic</t>
  </si>
  <si>
    <t>Silicon</t>
  </si>
  <si>
    <t>Rigby P, Fillon B, Gombert A, Herrero Rueda J, Kiel E, Mellikov E, et al.
Scientific Assessment in support of the Materials Roadmap enabling Low
Carbon Energy Technologies Photovoltaic Technology 2011.</t>
  </si>
  <si>
    <t>https://publications.jrc.ec.europa.eu/repository/handle/JRC67978</t>
  </si>
  <si>
    <t>C-Si requires 66,700 tonnes of 4.0 mm glass per GWp of 15% efficient modules</t>
  </si>
  <si>
    <t>TFPV it requires 160,000 tonnes of glass per GWp</t>
  </si>
  <si>
    <t>Fthenakis et al., 2011</t>
  </si>
  <si>
    <t>Wp per m^2</t>
  </si>
  <si>
    <t>Average</t>
  </si>
  <si>
    <t>R. Frischknecht, P. Stolz, L. Krebs, M. de Wild-Scholten, P. Sinha, V. Fthenakis, H. C. Kim, M. Raugei, M. Stucki, 2020, Life Cycle Inventories and Life Cycle Assessment of Photovoltaic Systems, International Energy Agency (IEA) PVPS Task 12, Report T12-19:2020.</t>
  </si>
  <si>
    <t>https://treeze.ch/fileadmin/user_upload/downloads/Publications/Case_Studies/Energy/IEA-PVPS-LCI-report-2020-20201208.pdf</t>
  </si>
  <si>
    <t>% weight Si per module</t>
  </si>
  <si>
    <t>Weight of unframed module per m^2</t>
  </si>
  <si>
    <t>tons/MW</t>
  </si>
  <si>
    <t>Mono-Si</t>
  </si>
  <si>
    <t>11 kg</t>
  </si>
  <si>
    <t>Multi-Si</t>
  </si>
  <si>
    <t>11.1 kg</t>
  </si>
  <si>
    <t>Coal</t>
  </si>
  <si>
    <t>Biomass</t>
  </si>
  <si>
    <t>Coal+CCS</t>
  </si>
  <si>
    <t>https://www.sciencedirect.com/science/article/abs/pii/S0921344915000555</t>
  </si>
  <si>
    <t>considering a 600MW hard coal plant with Monoethanolamine (MEA) CO2 capture, hypothetically in western Europe</t>
  </si>
  <si>
    <t>Numbers from tables 2 and 3</t>
  </si>
  <si>
    <t>kg/kWh</t>
  </si>
  <si>
    <t>Conventional coal</t>
  </si>
  <si>
    <t>Study assumptions: 25 year lifetime, 8000 full load hours per year, 42% efficiency without CCS, 41% efficiency with CCS</t>
  </si>
  <si>
    <t>Power production per year assuming 57% capacity factor (kWh)</t>
  </si>
  <si>
    <t>Power production over 25 year lifetime (kWh)</t>
  </si>
  <si>
    <t>Power production over 25 year lifetime (GWh)</t>
  </si>
  <si>
    <t>NG-CC</t>
  </si>
  <si>
    <t>With CCS, based on Singh increase factor</t>
  </si>
  <si>
    <t>https://www.sciencedirect.com/science/article/abs/pii/S0196890497000058</t>
  </si>
  <si>
    <t>Sullivan et al 2010</t>
  </si>
  <si>
    <t>Steel+iron</t>
  </si>
  <si>
    <t>Biomass-88</t>
  </si>
  <si>
    <t>Biomass w CCS based on Singh et al 2015 factors</t>
  </si>
  <si>
    <t>Spath, P.L., M.K. Mann, and D.R. Kerr, 1999, ―Life Cycle Assessment of Coal-Fired Power Production,‖ NREL/TP-570-25119.</t>
  </si>
  <si>
    <t>https://www.nrel.gov/docs/fy99osti/25119.pdf</t>
  </si>
  <si>
    <t>Table 18, cites DynCorp, 1995, Meridian 1989, 360MW plant</t>
  </si>
  <si>
    <t>tons/GW or kg/MW capacity</t>
  </si>
  <si>
    <t>Sensitivity (Table 42)</t>
  </si>
  <si>
    <t xml:space="preserve">White, S.W., and G.L. Kulcinski, 1998a, ―Birth to Death Analysis of the Energy Payback Ratio and CO2 Gas Emission Rates From Coal, Fission, Wind and DT Fusion Electrical Power Plants,‖ UWFDM-1063. </t>
  </si>
  <si>
    <t>https://www.sciencedirect.com/science/article/abs/pii/S0920379600001587</t>
  </si>
  <si>
    <t>Table 4, citing reference 11 for coal, reference 12 for fission</t>
  </si>
  <si>
    <t>carbon/low alloy + stainless steel</t>
  </si>
  <si>
    <t>ref 11:</t>
  </si>
  <si>
    <t>A.A. El-Bassioni, A methodology and a preliminary data base for examining the health risks of electricity generation from uranium and coal fuels, Oak Ridge National Laboratory, NUREG/CR-1539, August (1980).</t>
  </si>
  <si>
    <t>R.H. Bryan, I.T. Dudley, Estimated quantities of materials contained in a 1000 MW(e) PWR Power Plant, Oak Ridge National Laboratory, TM-4515, June (1974).</t>
  </si>
  <si>
    <t>Spath, P.L., and M.K. Mann, 2000, ―Life Cycle Assessment of a Natural Gas Combined-Cycle Power Generation System,‖ NREL/TP-570-27715.</t>
  </si>
  <si>
    <t>https://www.nrel.gov/docs/fy00osti/27715.pdf</t>
  </si>
  <si>
    <t>Table 2, citing DynCorp 1995</t>
  </si>
  <si>
    <t>NG-CC, CCS using Singh et al 2015 factors</t>
  </si>
  <si>
    <t>https://www.osti.gov/servlets/purl/5100383</t>
  </si>
  <si>
    <t>Coal, CCS</t>
  </si>
  <si>
    <t>Table 4.21</t>
  </si>
  <si>
    <t>Coal, 800 MWe</t>
  </si>
  <si>
    <t>Coal, tons/GW</t>
  </si>
  <si>
    <t>"lncludes material to manufacture major equipment items."</t>
  </si>
  <si>
    <t>400-430 (c)</t>
  </si>
  <si>
    <t>(b)Federal Energy Administration, 11 Project Independence Blue Print Final Task Force Report: Facilities, 11 November 1974.</t>
  </si>
  <si>
    <t>500 to 537.5</t>
  </si>
  <si>
    <t>Coal, low</t>
  </si>
  <si>
    <t>Coal, high</t>
  </si>
  <si>
    <t>Coal w CCS low, using Singh et al 2015 factors</t>
  </si>
  <si>
    <t>Coal w CCS high, using Singh et al 2015 factors</t>
  </si>
  <si>
    <t>Concrete (CUBIC YARDS)</t>
  </si>
  <si>
    <t>37000 (d)-53500</t>
  </si>
  <si>
    <t>https://www.osti.gov/servlets/purl/7269803</t>
  </si>
  <si>
    <t>Concrete, metric tons (assuming 2.75 metric tons/m^3</t>
  </si>
  <si>
    <t>77793 to 112485</t>
  </si>
  <si>
    <t>kg of cement, assuming cement content of 165 g/m^3</t>
  </si>
  <si>
    <t>Steel+steel pipe &amp; tube+stainless steel+steel forgings</t>
  </si>
  <si>
    <t>Concrete, cubic meters</t>
  </si>
  <si>
    <t>kg of cement, assuming cement content of 400 g/m^3</t>
  </si>
  <si>
    <t>using original figures for concrete volume, in cubic meters</t>
  </si>
  <si>
    <t>(c)J.P. Albers et al., "Demand for Non-fuel Minerals and Materials by U.S. Energy Industry 1975-1990," Geological Survey, U.S. Department of the Interior, 1976.</t>
  </si>
  <si>
    <t>(d)Tennessee Valley Authority, "The Bull Run Steam Plant," .Technical Report 38, 1967.</t>
  </si>
  <si>
    <t>J.P. Albers et al., "Demand for Non-fuel Minerals and Materials by U.S. Energy Industry 1975-1990," Geological Survey, U.S. Department of the Interior, 1976.</t>
  </si>
  <si>
    <t>https://pubs.er.usgs.gov/publication/pp1006AB</t>
  </si>
  <si>
    <t>Coal w CCS using Singh et al 2015 factors</t>
  </si>
  <si>
    <t>metric tons</t>
  </si>
  <si>
    <t>using Singh et al 2015 factors</t>
  </si>
  <si>
    <t>Nuclear</t>
  </si>
  <si>
    <t>Per Peterson et al (2005):</t>
  </si>
  <si>
    <t>Metal And Concrete Inputs For Several Nuclear Power Plants</t>
  </si>
  <si>
    <t>https://pdfs.semanticscholar.org/519e/a5c55a312f3f45ccfcc4a093a941366c6658.pdf</t>
  </si>
  <si>
    <t>1380 MWe ABWR in Table 3, 1500 MWe ESBWR in Table 4, 1600 MWe EPR in Table 5, 286 MW GR-MHR in Table 6, 1235 MW AHTR-IT in Table 7</t>
  </si>
  <si>
    <t>1380 MWe ABWR</t>
  </si>
  <si>
    <t>1500 MWe ESBWR</t>
  </si>
  <si>
    <t>1600 MWe EPR</t>
  </si>
  <si>
    <t>286 MWe GT-MHR</t>
  </si>
  <si>
    <t>1235 MW AHTR-IT</t>
  </si>
  <si>
    <t>Cement (tons/GW)</t>
  </si>
  <si>
    <t>Total metal</t>
  </si>
  <si>
    <t>Concrete, metric tons (assuming 2.75 metric tons/m^3)</t>
  </si>
  <si>
    <t>Steel and iron, metric tons as a fraction of total metal, assuming 97.5%</t>
  </si>
  <si>
    <t>Concrete, tons/GW</t>
  </si>
  <si>
    <t>Steel, tons/GW</t>
  </si>
  <si>
    <t>Operational</t>
  </si>
  <si>
    <t>Not yet built</t>
  </si>
  <si>
    <t>in development</t>
  </si>
  <si>
    <t>Nuclear power (PWR)</t>
  </si>
  <si>
    <t>https://inis.iaea.org/collection/NCLCollectionStore/_Public/05/148/5148861.pdf</t>
  </si>
  <si>
    <t>Cites reference 1 for many cases, for others equipment catalogs, personal communications, technical journals consulted</t>
  </si>
  <si>
    <t>Typical 1000 MW PWR, Table 1 - composite materials</t>
  </si>
  <si>
    <t>Carbon steel + stainless steel + galvanized iron</t>
  </si>
  <si>
    <t>Concrete - CUBIC YARDS</t>
  </si>
  <si>
    <t>179681.06 metric tons according to Appendix B</t>
  </si>
  <si>
    <t>&lt;1</t>
  </si>
  <si>
    <t>Typical 1000 MW PWR, Table 2 - basic constituent materials</t>
  </si>
  <si>
    <t>Assumed constituents in Appendix C</t>
  </si>
  <si>
    <t>Table 3.59:</t>
  </si>
  <si>
    <t>metric tons for a 1000 MW plant</t>
  </si>
  <si>
    <t>PWR</t>
  </si>
  <si>
    <t>BWR</t>
  </si>
  <si>
    <t>1000 MWe Model LWR (based on a 2:1 ratio of PWR to BWR requirements, for a range of values the average was utilized. Values rounded, represent a 30 year lifetime of the plant)</t>
  </si>
  <si>
    <t>BWR (c)</t>
  </si>
  <si>
    <t>BWR (d)</t>
  </si>
  <si>
    <t>18-45 (a,f)</t>
  </si>
  <si>
    <t>45-54 (d,c)</t>
  </si>
  <si>
    <t>Am using numbers for BWR columns only, treating ranges of values as two separate estimates</t>
  </si>
  <si>
    <t>&lt;1 (a,f)</t>
  </si>
  <si>
    <t>&lt;1 (d)</t>
  </si>
  <si>
    <t>1.9e5 (c)</t>
  </si>
  <si>
    <t>1.8et</t>
  </si>
  <si>
    <t>726-2000 (a,f)</t>
  </si>
  <si>
    <t>907-2000 (c,d)</t>
  </si>
  <si>
    <t>400-467 (f,a)</t>
  </si>
  <si>
    <t>209-400 (c,d)</t>
  </si>
  <si>
    <t>100-484 (f,a)</t>
  </si>
  <si>
    <t>49-100 (c,d)</t>
  </si>
  <si>
    <t>&lt;1 (f,a)</t>
  </si>
  <si>
    <t>1 (d)</t>
  </si>
  <si>
    <t>1-5.4e5 (f,g)</t>
  </si>
  <si>
    <t>1.0e4 (d)</t>
  </si>
  <si>
    <t xml:space="preserve">(a)R. H. Bryan and I. T. Dudley, 11 Estimated Quantities of Materials
Contained in a1000-MWe PWR Power Plant, 11 ORNL-TM-4515, June 1974. </t>
  </si>
  <si>
    <t xml:space="preserve">(c)J. P. Albers, et al., 11 Demand and.Supply of Non-Fuel Minerals and
Materials for the United States Energy Industry, 1975-90, 11 USGS
Professional Paper 1006-~, 1976. </t>
  </si>
  <si>
    <t>(d)u.s. Nuclear Regulatory Commission, 11 Phipps Bend Nuclear Plant Units 1 and 2, Proposed by the Tennessee Valley Authority, 11 Final Environmental Statement, NUREG-0168, February 1977.</t>
  </si>
  <si>
    <t>(f)U.S. Nu~lear Regulatory Commission, 11Yellow Creek Nuclear Plant Units 1 and 2, Proposed by the Tennessee Valley Authority, 11 Final Environmental Statement, November 1977.</t>
  </si>
  <si>
    <t>g)U. S. Department of Energy, 11Technology for Commercial Radioactive Waste Management, II DOE/ET-0028, vo·l. 1, May 1979 ..</t>
  </si>
  <si>
    <t>U.S. Nuclear Regulatory Commission, Yellow Creek Nuclear Plant Units 1 and 2, Proposed by the Tennessee Valley Authority, Final Environmental Statement, November 1977.</t>
  </si>
  <si>
    <t>https://catalog.hathitrust.org/Record/101828841</t>
  </si>
  <si>
    <t>page 220, section 10.3.3, assembled from "various sources" for a two-unit plant with same power rating as Yellow Creek</t>
  </si>
  <si>
    <t>PWR, ~2700 MWe</t>
  </si>
  <si>
    <t>tons/GW (rounded to nearest integer)</t>
  </si>
  <si>
    <t>Technical Description of the “Mark 1” Pebble-Bed Fluoride-Salt-Cooled High-Temperature Reactor (PB-FHR) Power Plant</t>
  </si>
  <si>
    <t>Andreades et al</t>
  </si>
  <si>
    <t>converted from 1000 kg/MWe to tons/GWe</t>
  </si>
  <si>
    <t>Mk 1 PB-FHR (100 MWe), scaled to 1GW</t>
  </si>
  <si>
    <t>Carbon steel + High alloy and stainless steel</t>
  </si>
  <si>
    <t>Mk 1 PB-FHR (100 MWe)</t>
  </si>
  <si>
    <t>kWh/GWh</t>
  </si>
  <si>
    <t>http://esu-services.ch/fileadmin/download/publicLCI/flury-2012-hydroelectric-power-generation.pdf</t>
  </si>
  <si>
    <t>Storage Power Station</t>
  </si>
  <si>
    <t>Run of River</t>
  </si>
  <si>
    <t xml:space="preserve">Material </t>
  </si>
  <si>
    <t>Run of River (RoR)</t>
  </si>
  <si>
    <t>Storaged</t>
  </si>
  <si>
    <t>ton/g</t>
  </si>
  <si>
    <t>Assumed Life</t>
  </si>
  <si>
    <t>150 years</t>
  </si>
  <si>
    <t>Assumed plant size</t>
  </si>
  <si>
    <t>95 MW</t>
  </si>
  <si>
    <t>Copper (Cu)</t>
  </si>
  <si>
    <t xml:space="preserve">Assumed production </t>
  </si>
  <si>
    <t>190GWh/year</t>
  </si>
  <si>
    <t>Hondo 2005</t>
  </si>
  <si>
    <t>Rule 2009</t>
  </si>
  <si>
    <t>n/a</t>
  </si>
  <si>
    <t>69 (seems very low)</t>
  </si>
  <si>
    <t>seems quite low, omitting these</t>
  </si>
  <si>
    <t>Hydro</t>
  </si>
  <si>
    <t>Three gorges dam (sanity check, not included in study)</t>
  </si>
  <si>
    <t>Concrete (kg)</t>
  </si>
  <si>
    <t>27.2 million m3 concrete</t>
  </si>
  <si>
    <t xml:space="preserve"> 463,000 tons steel</t>
  </si>
  <si>
    <t>https://www.britannica.com/topic/Three-Gorges-Dam</t>
  </si>
  <si>
    <t>Three Gorges Dam is 22.5 GW</t>
  </si>
  <si>
    <t>http://www.china-embassy.org/eng/zt/sxgc/t36512.htm</t>
  </si>
  <si>
    <t>Steel (tons/GW)</t>
  </si>
  <si>
    <t>Asphalt</t>
  </si>
  <si>
    <t>Bentonite</t>
  </si>
  <si>
    <t>Glass Fiber Reinforced Plastic</t>
  </si>
  <si>
    <t>Mineral wool</t>
  </si>
  <si>
    <t>Stainless Steel</t>
  </si>
  <si>
    <t>Conventional Geothermal Flash</t>
  </si>
  <si>
    <t>303.3 MWe+133MWth plant</t>
  </si>
  <si>
    <t>30 year life</t>
  </si>
  <si>
    <t>87% CF</t>
  </si>
  <si>
    <t>349.5 million MJ</t>
  </si>
  <si>
    <t>https://link.springer.com/article/10.1007/s11367-014-0842-y</t>
  </si>
  <si>
    <t>Elec (g/kWh)</t>
  </si>
  <si>
    <t>Thermal (g/MJ)</t>
  </si>
  <si>
    <t>Total Material demand from Elec (tons)</t>
  </si>
  <si>
    <t>Total Material demand from Heat (tons)</t>
  </si>
  <si>
    <t>Lifetime Elec (kWh)</t>
  </si>
  <si>
    <t>Portland Cement</t>
  </si>
  <si>
    <t>Lifetime Heat (MJ)</t>
  </si>
  <si>
    <t>91441 kj/s</t>
  </si>
  <si>
    <t xml:space="preserve">Aluminum </t>
  </si>
  <si>
    <t>Hydrothermal (10MW) Binary</t>
  </si>
  <si>
    <t>Hydrothermal (50MW) Flash</t>
  </si>
  <si>
    <t>EGS (20MW)</t>
  </si>
  <si>
    <t>EGS (50MW)</t>
  </si>
  <si>
    <t>https://www.mdpi.com/1996-1073/13/11/2839</t>
  </si>
  <si>
    <t>61MWe</t>
  </si>
  <si>
    <t>21.1MWth</t>
  </si>
  <si>
    <t>Energy</t>
  </si>
  <si>
    <t>21760 GWhE</t>
  </si>
  <si>
    <t>1280 GWhth</t>
  </si>
  <si>
    <t>Tons (total)</t>
  </si>
  <si>
    <t>Tons/GWe</t>
  </si>
  <si>
    <t>Gravel</t>
  </si>
  <si>
    <t>Sodium Hydroxide</t>
  </si>
  <si>
    <t>Selenium</t>
  </si>
  <si>
    <t>Pentane</t>
  </si>
  <si>
    <t>PVC</t>
  </si>
  <si>
    <t>Basosi et al 2020</t>
  </si>
  <si>
    <t>Tons total</t>
  </si>
  <si>
    <t>tons/gw</t>
  </si>
  <si>
    <t>https://www.mdpi.com/2071-1050/12/7/2786</t>
  </si>
  <si>
    <t>Production wells (kg)</t>
  </si>
  <si>
    <t>Reinjection wells (kg)</t>
  </si>
  <si>
    <t>Drilling platform (kg)</t>
  </si>
  <si>
    <t>Steam adduction pipeline (kg)</t>
  </si>
  <si>
    <t>Turbine and alternator (kg)</t>
  </si>
  <si>
    <t>Compressors (kg)</t>
  </si>
  <si>
    <t>Building (kg)</t>
  </si>
  <si>
    <t>Sum of all components</t>
  </si>
  <si>
    <t>Steel (including cast iron, chromium steel, etc...)</t>
  </si>
  <si>
    <t>Pratiwi et al 2018</t>
  </si>
  <si>
    <t>https://www.sciencedirect.com/science/article/pii/S0375650517302912</t>
  </si>
  <si>
    <t>Capacity [MWe]</t>
  </si>
  <si>
    <t>Calcium Carbonante</t>
  </si>
  <si>
    <t>Expanded Shale, Clay, and Slate Institute</t>
  </si>
  <si>
    <t>ESCSI, 2007</t>
  </si>
  <si>
    <t>Chapter 6: Physical properties of structural lightweight concrete</t>
  </si>
  <si>
    <t>https://www.escsi.org/wp-content/themes/escsi/assets/images/6%20Chapter%206%20Physical%20Properties%20of%20SLWC%20Complete.pdf</t>
  </si>
  <si>
    <t>Assumed range of concrete densities for concrete of strengths ranging from &lt;15 to 35 MPa</t>
  </si>
  <si>
    <t>1600 to 2500 kg/m^3</t>
  </si>
  <si>
    <t>Xi, F., Davis, S., Ciais, P. et al. Substantial global carbon uptake by cement carbonation. Nature Geosci 9, 880–883 (2016). https://doi.org/10.1038/ngeo2840</t>
  </si>
  <si>
    <t>https://www.nature.com/articles/ngeo2840</t>
  </si>
  <si>
    <t>Based on Supplementary Data 6, the average use of cement of different strength classes for 33 dam, power station, dock, and infrastructure projects in China was:</t>
  </si>
  <si>
    <t>percent</t>
  </si>
  <si>
    <t>&gt;35 MPa</t>
  </si>
  <si>
    <t>24 to 35 MPa</t>
  </si>
  <si>
    <t>16 to 23 MPa</t>
  </si>
  <si>
    <t>15 MPa or less</t>
  </si>
  <si>
    <t>From Supplementary Table 2, cement content of concrete by strength class ranges as follows:</t>
  </si>
  <si>
    <t>cement content per m^3 concrete (kg/m^3)</t>
  </si>
  <si>
    <t>300 to 670</t>
  </si>
  <si>
    <t>280 to 400</t>
  </si>
  <si>
    <t>240 to 390</t>
  </si>
  <si>
    <t>165 to 288</t>
  </si>
  <si>
    <t>If converting from tons of concrete to tons of cement</t>
  </si>
  <si>
    <t>If converting from m^3 of concrete to tons of cement</t>
  </si>
  <si>
    <t>If starting with tons of cement</t>
  </si>
  <si>
    <t>1. Assume concrete ranges from &lt;15 to 35 MPa, with density ranging from 1600 to 2500 kg/m^3</t>
  </si>
  <si>
    <t>1. Follow steps 3-5 as outlined to the left</t>
  </si>
  <si>
    <t>1. Report figure as a single estimate of cement used / GW</t>
  </si>
  <si>
    <t>2. Calculate range of concrete volume based on density range immediately above</t>
  </si>
  <si>
    <t>3. Calculate weight of cement used assuming cement content of 165 to 400 kg/m^3</t>
  </si>
  <si>
    <t>4. Report high and low bounds of range of mass of cement used as two different estimates from the same source</t>
  </si>
  <si>
    <t>5. Assume an even distribution across all estimates for the Monte Carlo simulation</t>
  </si>
  <si>
    <t>Argonne National Laboratory, Life-Cycle Analysis Results of Geothermal Systems in Comparison to Other Power Systems, 2010</t>
  </si>
  <si>
    <t>Flury + Frischknecht 2012, Life Cycle Inventories of Hydroelectric Power Generation</t>
  </si>
  <si>
    <t>Karlsdóttir et al., 2015. Life cycle inventory of a flash geothermal combined heat and power plant located in Iceland</t>
  </si>
  <si>
    <t>Tosti et al., 2020. Complete Data Inventory of a Geothermal Power Plant for Robust Cradle-to-Grave Life Cycle Assessment Results</t>
  </si>
  <si>
    <t>Life Cycle Analysis of a Geothermal Power Plant: Comparison of the Environmental Performance with Other Renewable Energy Systems</t>
  </si>
  <si>
    <t>Life-cycle climate-change impact assessment of enhanced geothermal system plants in the Upper Rhine Valley</t>
  </si>
  <si>
    <t>Evaluation of CO2 payback time of power plants by LCA</t>
  </si>
  <si>
    <t>For biomass thermal plants: given similarity to coal plants in terms of scale and design, we assume the same material intensitites as coal where no independent sources are available</t>
  </si>
  <si>
    <t>For natural gas: we assume the same material intensitites as coal for Cu, Mn, Ni</t>
  </si>
  <si>
    <t>For all CCS plants: we use multiplicative factors derived from Singh et al., 2015 for Steel, concrete, and Cu to scale the material demand of CCS plants upwards from values for non-CCS fossil plants, assuming identical material intensities as coal plants for all other materials</t>
  </si>
  <si>
    <t>Assumed conversion factors to calculate material intensities per unit generating capacity:</t>
  </si>
  <si>
    <t>kg of material demand, across total lifetime, for a 600MW plant</t>
  </si>
  <si>
    <t>calculated material intensities, metric tons/GW</t>
  </si>
  <si>
    <t>Ratio of CCS/non-CCS material demand</t>
  </si>
  <si>
    <t>We utilize these calculated multiplicative factors associated with CCS infrastructure, but not these specifically derived material intensity values given anomalously high capacity factor assumptions</t>
  </si>
  <si>
    <t>8000 hours/year is an unusually high capacity factor - we choose to use a more reasonable capacity factor to derive material intensity values and assess the material intensity of CCS plants relative to non-CCS plants</t>
  </si>
  <si>
    <t>Conventional coal + CCS</t>
  </si>
  <si>
    <t>From these values, we assume a 53% increase in steel usage and 20% increase in copper usage for all CCS plants relative to non-CCS plants of the same category</t>
  </si>
  <si>
    <t>Tahara et al 1997</t>
  </si>
  <si>
    <t>Singh, B.; Bouman, E. A.; Strømman, A. H.; Hertwich, E. G. 2015.</t>
  </si>
  <si>
    <t>Material use for electricity generation with carbon dioxide capture and storage: Extending life cycle analysis indices for material accounting. Resour. Conserv. Recycl.</t>
  </si>
  <si>
    <t>NG-CC + CCS</t>
  </si>
  <si>
    <t>based on derived Singh et al., 2015 increase factor</t>
  </si>
  <si>
    <t>Coal + CCS, based on Singh increase factor</t>
  </si>
  <si>
    <t>NGCC + CCS, based on Singh increase factor</t>
  </si>
  <si>
    <t>Concrete volume (m^3) per GW</t>
  </si>
  <si>
    <t>Cement (kg) per GW</t>
  </si>
  <si>
    <t>Cement (tons) per GW</t>
  </si>
  <si>
    <t>Biomass + CCS, based on Singh et al 2015 factors</t>
  </si>
  <si>
    <t>88.5 MW plant</t>
  </si>
  <si>
    <t>Low</t>
  </si>
  <si>
    <t>High</t>
  </si>
  <si>
    <t>Table 13, column A, 900 MWe steam turbine fossil fuel (coal) plant</t>
  </si>
  <si>
    <t>Coal (900 MW plant)</t>
  </si>
  <si>
    <t>Technology</t>
  </si>
  <si>
    <t>Intensity value (tons/GW)</t>
  </si>
  <si>
    <t>Source</t>
  </si>
  <si>
    <t>Garrett + Ronde 2011</t>
  </si>
  <si>
    <t>Wilburn 2011</t>
  </si>
  <si>
    <t>Habib + Wenzel 2016</t>
  </si>
  <si>
    <t>BBF Associates 2011</t>
  </si>
  <si>
    <t>DOE 2011</t>
  </si>
  <si>
    <t>Hoenderdaal et al 2013</t>
  </si>
  <si>
    <t>Fizaine + Court 2015</t>
  </si>
  <si>
    <t>Razdan + Garrett 2015a</t>
  </si>
  <si>
    <t>Razdan + Garrett 2015b</t>
  </si>
  <si>
    <t>Elsam Engineering 2004</t>
  </si>
  <si>
    <t>Falconer 2009</t>
  </si>
  <si>
    <t>Manberger + Stenqvist 2018</t>
  </si>
  <si>
    <t>Mason et al 2006</t>
  </si>
  <si>
    <t>Jean et al 2015</t>
  </si>
  <si>
    <t>NI</t>
  </si>
  <si>
    <t>Spath et al 1999</t>
  </si>
  <si>
    <t>White + Kulcinski 1998</t>
  </si>
  <si>
    <t>El-Bassioni 1980</t>
  </si>
  <si>
    <t>Albers et al 1976</t>
  </si>
  <si>
    <t>Gas</t>
  </si>
  <si>
    <t>Spath + Mann 2000</t>
  </si>
  <si>
    <t>CoalCCS</t>
  </si>
  <si>
    <t>BiomassCCS</t>
  </si>
  <si>
    <t>GasCCS</t>
  </si>
  <si>
    <t>Bryan + Dudley 1974</t>
  </si>
  <si>
    <t>USNRC 1977</t>
  </si>
  <si>
    <t>Peterson et al 2005</t>
  </si>
  <si>
    <t>Pacca + Horvath 2002</t>
  </si>
  <si>
    <t>Flury + Frischknecht 2012</t>
  </si>
  <si>
    <t>Geothermal</t>
  </si>
  <si>
    <t>Karlsdottir et al 2015</t>
  </si>
  <si>
    <t>Explanation</t>
  </si>
  <si>
    <t>crystalline silicon solar photovoltaic</t>
  </si>
  <si>
    <t>copper indium gallium selenide thin-film solar photovoltaic</t>
  </si>
  <si>
    <t>amorphous silicon germanium thin-film solar photovoltaic</t>
  </si>
  <si>
    <t>cadmium telluride thin-film solar photovoltaic</t>
  </si>
  <si>
    <t>concentrating solar power</t>
  </si>
  <si>
    <t>onshore wind turbine with permanent magnet gearbox direct drive</t>
  </si>
  <si>
    <t>onshore wind turbine with asynchronous gearbox drive</t>
  </si>
  <si>
    <t>offshore wind turbine with permanent magnet gearbox direct drive</t>
  </si>
  <si>
    <t>offshore wind turbine with asynchronous gearbox drive</t>
  </si>
  <si>
    <t>Numbers taken from Table 2</t>
  </si>
  <si>
    <t>tons concrete / GW</t>
  </si>
  <si>
    <t>We use Wp per m^2 values from Frischknecht et al. 2020 below, in conjunction with the ballpark figure of 10 kg glass per m^2 of c-Si panel from this study, Table 5.1.6</t>
  </si>
  <si>
    <t>The authors likely arrived at these values by dividing the ranges of materials in the original DOE publication by the 4.1 TW of PV capacity installed...</t>
  </si>
  <si>
    <t>Authors point out that Pacca and Horvath 2002 numbers are high, while Phylipsen 1995 and de Wild 2005 do not appear to consider material inputs beyond panels</t>
  </si>
  <si>
    <t>Life Cycle Assessment of offshore and onshore sited wind farms. 2004</t>
  </si>
  <si>
    <t>Concrete C12, C30, C45, amounts unspecified. LCA used C12/15 and C30/37, also employing C30/37 parameters for C45</t>
  </si>
  <si>
    <t>GREEN = final values (precise shading of green is immaterial)</t>
  </si>
  <si>
    <t>match fairly well with Vestas numbers</t>
  </si>
  <si>
    <t>Authors cite: Arnolds Magnetics, Avalon Inc., TechMetalsResearch, IMCOA, University of St. Polten, Chinese Society of Rare Earths, Less Common Metals Ltd., Magnet Motor GmpH, Ames Laboratory and the US: Department of Energy.</t>
  </si>
  <si>
    <t>kilograms in each turbine</t>
  </si>
  <si>
    <t>Adding grid connection and cabling infrastructure estimates from Elsam 2004 report to the values in the rows above:</t>
  </si>
  <si>
    <t xml:space="preserve">Concrete by weight %: Cement 16.77, coarse aggregate 50.29, fine aggregate 25.52 </t>
  </si>
  <si>
    <t>(b)Federal Energy Administration, 11 P~oject Independence Blueprint.Task · . Force Report/Nuclear Energy, 11 Final Task Force Report, 1974.</t>
  </si>
  <si>
    <t>We excluded unbuilt designs, included built designs</t>
  </si>
  <si>
    <t>98130 cubic yards</t>
  </si>
  <si>
    <t>only using BWR numbers, since PWR numbers are from Bryan and Dudley, which is already included above</t>
  </si>
  <si>
    <t>Original values reported in g/kWh:</t>
  </si>
  <si>
    <t>Intensity [ton/GW], converted from original values in g/kWh</t>
  </si>
  <si>
    <t>Cement (tons)/GW</t>
  </si>
  <si>
    <t>Cement (kg)/GW</t>
  </si>
  <si>
    <t>Concrete volume (m^3)/GW</t>
  </si>
  <si>
    <t>Sum of steel and stainless steel</t>
  </si>
  <si>
    <t>Original values in g/kWh and g/MJ</t>
  </si>
  <si>
    <t>Capacity</t>
  </si>
  <si>
    <t>20MWe (single plant flash), requirements in kg</t>
  </si>
  <si>
    <t>Jean et al., 2015</t>
  </si>
  <si>
    <t>Rigby et al., 2011</t>
  </si>
  <si>
    <t>Rischknecht et al 2015</t>
  </si>
  <si>
    <t>Kavlak et al., 2015</t>
  </si>
  <si>
    <t>Andreades et al 2014</t>
  </si>
  <si>
    <t>Tosti et al 2020</t>
  </si>
  <si>
    <t>Enhanced geothermal system</t>
  </si>
  <si>
    <t>Argonne National Laboratory, Life-Cycle Analysis Results of Geothermal Systems in Comparison to Other Power Systems, Sullivan et al., 2010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</si>
</sst>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22">
    <font>
      <sz val="10"/>
      <color rgb="FF000000"/>
      <name val="Arial"/>
    </font>
    <font>
      <sz val="12"/>
      <color theme="1"/>
      <name val="Arial"/>
      <family val="2"/>
      <scheme val="minor"/>
    </font>
    <font>
      <sz val="12"/>
      <color rgb="FF000000"/>
      <name val="Calibri"/>
      <family val="2"/>
    </font>
    <font>
      <sz val="12"/>
      <color rgb="FF000000"/>
      <name val="Arial"/>
      <family val="2"/>
    </font>
    <font>
      <sz val="10"/>
      <color theme="1"/>
      <name val="Arial"/>
      <family val="2"/>
    </font>
    <font>
      <u/>
      <sz val="10"/>
      <color rgb="FF0000FF"/>
      <name val="Arial"/>
      <family val="2"/>
    </font>
    <font>
      <u/>
      <sz val="11"/>
      <color rgb="FF0C7DBB"/>
      <name val="Arial"/>
      <family val="2"/>
    </font>
    <font>
      <u/>
      <sz val="10"/>
      <color rgb="FF1155CC"/>
      <name val="Arial"/>
      <family val="2"/>
    </font>
    <font>
      <sz val="11"/>
      <color rgb="FF000000"/>
      <name val="Arial"/>
      <family val="2"/>
    </font>
    <font>
      <u/>
      <sz val="10"/>
      <color rgb="FF0000FF"/>
      <name val="Arial"/>
      <family val="2"/>
    </font>
    <font>
      <sz val="10"/>
      <color rgb="FF222222"/>
      <name val="Arial"/>
      <family val="2"/>
    </font>
    <font>
      <sz val="11"/>
      <color rgb="FF1155CC"/>
      <name val="Inconsolata"/>
    </font>
    <font>
      <sz val="10"/>
      <color rgb="FF000000"/>
      <name val="Roboto"/>
    </font>
    <font>
      <b/>
      <sz val="11"/>
      <color rgb="FF000000"/>
      <name val="Arial"/>
      <family val="2"/>
    </font>
    <font>
      <b/>
      <i/>
      <u/>
      <sz val="10"/>
      <color theme="1"/>
      <name val="Arial"/>
      <family val="2"/>
    </font>
    <font>
      <sz val="10"/>
      <color rgb="FF000000"/>
      <name val="Arial"/>
      <family val="2"/>
    </font>
    <font>
      <sz val="11"/>
      <color rgb="FF4D5156"/>
      <name val="Roboto"/>
    </font>
    <font>
      <sz val="11"/>
      <color rgb="FF202122"/>
      <name val="Arial"/>
      <family val="2"/>
    </font>
    <font>
      <u/>
      <sz val="11"/>
      <color rgb="FF0000FF"/>
      <name val="Slack-Lato"/>
    </font>
    <font>
      <b/>
      <sz val="10"/>
      <color theme="1"/>
      <name val="Arial"/>
      <family val="2"/>
    </font>
    <font>
      <sz val="12"/>
      <color rgb="FF222222"/>
      <name val="-apple-system"/>
    </font>
    <font>
      <sz val="12"/>
      <color rgb="FF006100"/>
      <name val="Arial"/>
      <family val="2"/>
      <scheme val="minor"/>
    </font>
  </fonts>
  <fills count="12">
    <fill>
      <patternFill patternType="none"/>
    </fill>
    <fill>
      <patternFill patternType="gray125"/>
    </fill>
    <fill>
      <patternFill patternType="solid">
        <fgColor rgb="FFD9EAD3"/>
        <bgColor rgb="FFD9EAD3"/>
      </patternFill>
    </fill>
    <fill>
      <patternFill patternType="solid">
        <fgColor rgb="FFF4CCCC"/>
        <bgColor rgb="FFF4CCCC"/>
      </patternFill>
    </fill>
    <fill>
      <patternFill patternType="solid">
        <fgColor rgb="FFB6D7A8"/>
        <bgColor rgb="FFB6D7A8"/>
      </patternFill>
    </fill>
    <fill>
      <patternFill patternType="solid">
        <fgColor rgb="FFFFFFFF"/>
        <bgColor rgb="FFFFFFFF"/>
      </patternFill>
    </fill>
    <fill>
      <patternFill patternType="solid">
        <fgColor rgb="FFD0E0E3"/>
        <bgColor rgb="FFD0E0E3"/>
      </patternFill>
    </fill>
    <fill>
      <patternFill patternType="solid">
        <fgColor theme="0"/>
        <bgColor theme="0"/>
      </patternFill>
    </fill>
    <fill>
      <patternFill patternType="solid">
        <fgColor rgb="FFEA9999"/>
        <bgColor rgb="FFEA9999"/>
      </patternFill>
    </fill>
    <fill>
      <patternFill patternType="solid">
        <fgColor rgb="FFC6EFCE"/>
      </patternFill>
    </fill>
    <fill>
      <patternFill patternType="solid">
        <fgColor theme="4" tint="0.59999389629810485"/>
        <bgColor indexed="65"/>
      </patternFill>
    </fill>
    <fill>
      <patternFill patternType="solid">
        <fgColor theme="7" tint="0.79998168889431442"/>
        <bgColor indexed="65"/>
      </patternFill>
    </fill>
  </fills>
  <borders count="1">
    <border>
      <left/>
      <right/>
      <top/>
      <bottom/>
      <diagonal/>
    </border>
  </borders>
  <cellStyleXfs count="4">
    <xf numFmtId="0" fontId="0" fillId="0" borderId="0"/>
    <xf numFmtId="0" fontId="2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cellStyleXfs>
  <cellXfs count="63">
    <xf numFmtId="0" fontId="0" fillId="0" borderId="0" xfId="0" applyFont="1" applyAlignment="1"/>
    <xf numFmtId="0" fontId="2" fillId="0" borderId="0" xfId="0" applyFont="1" applyAlignment="1"/>
    <xf numFmtId="0" fontId="3" fillId="0" borderId="0" xfId="0" applyFont="1" applyAlignment="1"/>
    <xf numFmtId="0" fontId="4" fillId="0" borderId="0" xfId="0" applyFont="1" applyAlignment="1"/>
    <xf numFmtId="0" fontId="4" fillId="2" borderId="0" xfId="0" applyFont="1" applyFill="1" applyAlignment="1"/>
    <xf numFmtId="0" fontId="4" fillId="3" borderId="0" xfId="0" applyFont="1" applyFill="1" applyAlignment="1"/>
    <xf numFmtId="0" fontId="5" fillId="0" borderId="0" xfId="0" applyFont="1" applyAlignment="1"/>
    <xf numFmtId="0" fontId="4" fillId="2" borderId="0" xfId="0" applyFont="1" applyFill="1"/>
    <xf numFmtId="0" fontId="4" fillId="0" borderId="0" xfId="0" applyFont="1"/>
    <xf numFmtId="0" fontId="4" fillId="4" borderId="0" xfId="0" applyFont="1" applyFill="1" applyAlignment="1"/>
    <xf numFmtId="0" fontId="6" fillId="0" borderId="0" xfId="0" applyFont="1" applyAlignment="1"/>
    <xf numFmtId="0" fontId="7" fillId="0" borderId="0" xfId="0" applyFont="1" applyAlignment="1"/>
    <xf numFmtId="3" fontId="4" fillId="2" borderId="0" xfId="0" applyNumberFormat="1" applyFont="1" applyFill="1" applyAlignment="1"/>
    <xf numFmtId="0" fontId="4" fillId="6" borderId="0" xfId="0" applyFont="1" applyFill="1"/>
    <xf numFmtId="0" fontId="4" fillId="3" borderId="0" xfId="0" applyFont="1" applyFill="1"/>
    <xf numFmtId="0" fontId="9" fillId="0" borderId="0" xfId="0" applyFont="1" applyAlignment="1"/>
    <xf numFmtId="0" fontId="8" fillId="0" borderId="0" xfId="0" applyFont="1" applyAlignment="1"/>
    <xf numFmtId="0" fontId="10" fillId="5" borderId="0" xfId="0" applyFont="1" applyFill="1" applyAlignment="1"/>
    <xf numFmtId="0" fontId="4" fillId="0" borderId="0" xfId="0" applyFont="1" applyAlignment="1"/>
    <xf numFmtId="0" fontId="4" fillId="3" borderId="0" xfId="0" applyFont="1" applyFill="1" applyAlignment="1"/>
    <xf numFmtId="0" fontId="4" fillId="2" borderId="0" xfId="0" applyFont="1" applyFill="1" applyAlignment="1"/>
    <xf numFmtId="0" fontId="11" fillId="5" borderId="0" xfId="0" applyFont="1" applyFill="1"/>
    <xf numFmtId="0" fontId="12" fillId="5" borderId="0" xfId="0" applyFont="1" applyFill="1" applyAlignment="1"/>
    <xf numFmtId="0" fontId="13" fillId="0" borderId="0" xfId="0" applyFont="1"/>
    <xf numFmtId="0" fontId="3" fillId="0" borderId="0" xfId="0" applyFont="1" applyAlignment="1"/>
    <xf numFmtId="0" fontId="4" fillId="0" borderId="0" xfId="0" applyFont="1" applyAlignment="1"/>
    <xf numFmtId="0" fontId="14" fillId="0" borderId="0" xfId="0" applyFont="1" applyAlignment="1"/>
    <xf numFmtId="0" fontId="4" fillId="2" borderId="0" xfId="0" applyFont="1" applyFill="1" applyAlignment="1"/>
    <xf numFmtId="0" fontId="15" fillId="5" borderId="0" xfId="0" applyFont="1" applyFill="1" applyAlignment="1">
      <alignment horizontal="left"/>
    </xf>
    <xf numFmtId="0" fontId="12" fillId="0" borderId="0" xfId="0" applyFont="1" applyAlignment="1"/>
    <xf numFmtId="0" fontId="2" fillId="0" borderId="0" xfId="0" applyFont="1" applyAlignment="1"/>
    <xf numFmtId="11" fontId="4" fillId="0" borderId="0" xfId="0" applyNumberFormat="1" applyFont="1"/>
    <xf numFmtId="11" fontId="4" fillId="0" borderId="0" xfId="0" applyNumberFormat="1" applyFont="1" applyAlignment="1"/>
    <xf numFmtId="11" fontId="4" fillId="2" borderId="0" xfId="0" applyNumberFormat="1" applyFont="1" applyFill="1" applyAlignment="1"/>
    <xf numFmtId="11" fontId="4" fillId="2" borderId="0" xfId="0" applyNumberFormat="1" applyFont="1" applyFill="1"/>
    <xf numFmtId="3" fontId="4" fillId="0" borderId="0" xfId="0" applyNumberFormat="1" applyFont="1" applyAlignment="1"/>
    <xf numFmtId="4" fontId="4" fillId="0" borderId="0" xfId="0" applyNumberFormat="1" applyFont="1"/>
    <xf numFmtId="164" fontId="4" fillId="0" borderId="0" xfId="0" applyNumberFormat="1" applyFont="1" applyAlignment="1"/>
    <xf numFmtId="3" fontId="4" fillId="0" borderId="0" xfId="0" applyNumberFormat="1" applyFont="1"/>
    <xf numFmtId="3" fontId="4" fillId="8" borderId="0" xfId="0" applyNumberFormat="1" applyFont="1" applyFill="1" applyAlignment="1"/>
    <xf numFmtId="0" fontId="16" fillId="5" borderId="0" xfId="0" applyFont="1" applyFill="1" applyAlignment="1">
      <alignment horizontal="left"/>
    </xf>
    <xf numFmtId="3" fontId="17" fillId="5" borderId="0" xfId="0" applyNumberFormat="1" applyFont="1" applyFill="1" applyAlignment="1"/>
    <xf numFmtId="165" fontId="4" fillId="0" borderId="0" xfId="0" applyNumberFormat="1" applyFont="1"/>
    <xf numFmtId="4" fontId="4" fillId="2" borderId="0" xfId="0" applyNumberFormat="1" applyFont="1" applyFill="1"/>
    <xf numFmtId="0" fontId="4" fillId="7" borderId="0" xfId="0" applyFont="1" applyFill="1" applyAlignment="1"/>
    <xf numFmtId="0" fontId="18" fillId="5" borderId="0" xfId="0" applyFont="1" applyFill="1" applyAlignment="1">
      <alignment horizontal="left"/>
    </xf>
    <xf numFmtId="0" fontId="19" fillId="0" borderId="0" xfId="0" applyFont="1" applyAlignment="1"/>
    <xf numFmtId="0" fontId="20" fillId="5" borderId="0" xfId="0" applyFont="1" applyFill="1" applyAlignment="1"/>
    <xf numFmtId="0" fontId="0" fillId="0" borderId="0" xfId="0"/>
    <xf numFmtId="0" fontId="21" fillId="9" borderId="0" xfId="1" applyAlignment="1"/>
    <xf numFmtId="0" fontId="1" fillId="11" borderId="0" xfId="3" applyAlignment="1"/>
    <xf numFmtId="0" fontId="15" fillId="0" borderId="0" xfId="0" applyFont="1" applyAlignment="1"/>
    <xf numFmtId="0" fontId="1" fillId="10" borderId="0" xfId="2" applyAlignment="1"/>
    <xf numFmtId="0" fontId="1" fillId="10" borderId="0" xfId="2"/>
    <xf numFmtId="0" fontId="15" fillId="0" borderId="0" xfId="0" applyFont="1"/>
    <xf numFmtId="0" fontId="3" fillId="0" borderId="0" xfId="0" applyFont="1" applyAlignment="1">
      <alignment horizontal="left" vertical="center"/>
    </xf>
    <xf numFmtId="164" fontId="1" fillId="10" borderId="0" xfId="2" applyNumberFormat="1"/>
    <xf numFmtId="4" fontId="1" fillId="10" borderId="0" xfId="2" applyNumberFormat="1"/>
    <xf numFmtId="3" fontId="21" fillId="9" borderId="0" xfId="1" applyNumberFormat="1" applyAlignment="1"/>
    <xf numFmtId="3" fontId="21" fillId="9" borderId="0" xfId="1" applyNumberFormat="1"/>
    <xf numFmtId="4" fontId="21" fillId="9" borderId="0" xfId="1" applyNumberFormat="1"/>
    <xf numFmtId="4" fontId="21" fillId="9" borderId="0" xfId="1" applyNumberFormat="1" applyAlignment="1"/>
    <xf numFmtId="0" fontId="21" fillId="9" borderId="0" xfId="1"/>
  </cellXfs>
  <cellStyles count="4">
    <cellStyle name="20% - Accent4" xfId="3" builtinId="42"/>
    <cellStyle name="40% - Accent1" xfId="2" builtinId="31"/>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https://www.sciencedirect.com/science/article/abs/pii/S0959652615009920" TargetMode="External"/><Relationship Id="rId3" Type="http://schemas.openxmlformats.org/officeDocument/2006/relationships/hyperlink" Target="https://www.vestas.com/~/media/vestas/about/sustainability/pdfs/lca_v902mw_version1.pdf" TargetMode="External"/><Relationship Id="rId7" Type="http://schemas.openxmlformats.org/officeDocument/2006/relationships/hyperlink" Target="https://www.sciencedirect.com/science/article/abs/pii/S0360544212008055" TargetMode="External"/><Relationship Id="rId12" Type="http://schemas.openxmlformats.org/officeDocument/2006/relationships/hyperlink" Target="https://www.vestas.com/~/media/vestas/about/sustainability/pdfs/lca_v80_2004_uk.ashx" TargetMode="External"/><Relationship Id="rId2" Type="http://schemas.openxmlformats.org/officeDocument/2006/relationships/hyperlink" Target="https://www.vestas.com/~/media/vestas/about/sustainability/pdfs/lcav11020mw181215.pdf" TargetMode="External"/><Relationship Id="rId1" Type="http://schemas.openxmlformats.org/officeDocument/2006/relationships/hyperlink" Target="https://www.vestas.com/~/media/vestas/about/sustainability/pdfs/lcav10020mw181215.pdf" TargetMode="External"/><Relationship Id="rId6" Type="http://schemas.openxmlformats.org/officeDocument/2006/relationships/hyperlink" Target="https://pubs.usgs.gov/sir/2011/5036/sir2011-5036.pdf" TargetMode="External"/><Relationship Id="rId11" Type="http://schemas.openxmlformats.org/officeDocument/2006/relationships/hyperlink" Target="https://tethys.pnnl.gov/publications/life-cycle-environmental-impact-onshore-offshore-wind-farms-texas" TargetMode="External"/><Relationship Id="rId5" Type="http://schemas.openxmlformats.org/officeDocument/2006/relationships/hyperlink" Target="https://doi.org/10.1016/j.enpol.2011.11.018" TargetMode="External"/><Relationship Id="rId10" Type="http://schemas.openxmlformats.org/officeDocument/2006/relationships/hyperlink" Target="https://www.sciencedirect.com/science/article/abs/pii/S0921800914003681" TargetMode="External"/><Relationship Id="rId4" Type="http://schemas.openxmlformats.org/officeDocument/2006/relationships/hyperlink" Target="https://www.energy.gov/sites/prod/files/2019/06/f63/DOE_CMS2011_FINAL_Full_1.pdf" TargetMode="External"/><Relationship Id="rId9" Type="http://schemas.openxmlformats.org/officeDocument/2006/relationships/hyperlink" Target="https://copperalliance.org/wp-content/uploads/2017/03/Projected-wind-solar-copper-demand-1.pdf"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pubs.rsc.org/en/content/articlelanding/2015/ee/c4ee04073b" TargetMode="External"/><Relationship Id="rId13" Type="http://schemas.openxmlformats.org/officeDocument/2006/relationships/hyperlink" Target="https://publications.jrc.ec.europa.eu/repository/handle/JRC67978" TargetMode="External"/><Relationship Id="rId3" Type="http://schemas.openxmlformats.org/officeDocument/2006/relationships/hyperlink" Target="https://copperalliance.org/wp-content/uploads/2017/03/Projected-wind-solar-copper-demand-1.pdf" TargetMode="External"/><Relationship Id="rId7" Type="http://schemas.openxmlformats.org/officeDocument/2006/relationships/hyperlink" Target="https://www.sciencedirect.com/science/article/pii/S0301421518302726" TargetMode="External"/><Relationship Id="rId12" Type="http://schemas.openxmlformats.org/officeDocument/2006/relationships/hyperlink" Target="https://www.irena.org/-/media/Files/IRENA/Agency/Publication/2017/Jun/IRENA_Leveraging_for_Solar_PV_2017.pdf" TargetMode="External"/><Relationship Id="rId2" Type="http://schemas.openxmlformats.org/officeDocument/2006/relationships/hyperlink" Target="http://www.world-aluminium.org/media/filer_public/2013/01/15/fl0000407.pdf" TargetMode="External"/><Relationship Id="rId1" Type="http://schemas.openxmlformats.org/officeDocument/2006/relationships/hyperlink" Target="https://pubs.rsc.org/en/content/articlelanding/2015/ee/c5ee00585j" TargetMode="External"/><Relationship Id="rId6" Type="http://schemas.openxmlformats.org/officeDocument/2006/relationships/hyperlink" Target="http://esu-services.ch/fileadmin/download/publicLCI/flury-2012-hydroelectric-power-generation.pdf" TargetMode="External"/><Relationship Id="rId11" Type="http://schemas.openxmlformats.org/officeDocument/2006/relationships/hyperlink" Target="https://www.sciencedirect.com/science/article/abs/pii/S0959652613004575?via%3Dihub" TargetMode="External"/><Relationship Id="rId5" Type="http://schemas.openxmlformats.org/officeDocument/2006/relationships/hyperlink" Target="https://www.sciencedirect.com/science/article/abs/pii/S036054421200374X" TargetMode="External"/><Relationship Id="rId15" Type="http://schemas.openxmlformats.org/officeDocument/2006/relationships/hyperlink" Target="https://treeze.ch/fileadmin/user_upload/downloads/Publications/Case_Studies/Energy/IEA-PVPS-LCI-report-2020-20201208.pdf" TargetMode="External"/><Relationship Id="rId10" Type="http://schemas.openxmlformats.org/officeDocument/2006/relationships/hyperlink" Target="https://www.bnl.gov/pv/files/pdf/226_Task12_LifeCycle_Inventories.pdf" TargetMode="External"/><Relationship Id="rId4" Type="http://schemas.openxmlformats.org/officeDocument/2006/relationships/hyperlink" Target="https://www.sciencedirect.com/science/article/abs/pii/S0921800914003681" TargetMode="External"/><Relationship Id="rId9" Type="http://schemas.openxmlformats.org/officeDocument/2006/relationships/hyperlink" Target="https://www.nrel.gov/docs/fy05osti/37656.pdf" TargetMode="External"/><Relationship Id="rId14" Type="http://schemas.openxmlformats.org/officeDocument/2006/relationships/hyperlink" Target="https://www.bnl.gov/pv/files/pdf/226_Task12_LifeCycle_Inventories.pdf"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osti.gov/servlets/purl/7269803" TargetMode="External"/><Relationship Id="rId3" Type="http://schemas.openxmlformats.org/officeDocument/2006/relationships/hyperlink" Target="https://www.energy.gov/sites/prod/files/2014/02/f7/lifecycle_analysis_of_geothermal_systems.pdf" TargetMode="External"/><Relationship Id="rId7" Type="http://schemas.openxmlformats.org/officeDocument/2006/relationships/hyperlink" Target="https://www.osti.gov/servlets/purl/5100383" TargetMode="External"/><Relationship Id="rId2" Type="http://schemas.openxmlformats.org/officeDocument/2006/relationships/hyperlink" Target="https://www.sciencedirect.com/science/article/abs/pii/S0196890497000058" TargetMode="External"/><Relationship Id="rId1" Type="http://schemas.openxmlformats.org/officeDocument/2006/relationships/hyperlink" Target="https://www.sciencedirect.com/science/article/abs/pii/S0921344915000555" TargetMode="External"/><Relationship Id="rId6" Type="http://schemas.openxmlformats.org/officeDocument/2006/relationships/hyperlink" Target="https://www.nrel.gov/docs/fy00osti/27715.pdf" TargetMode="External"/><Relationship Id="rId5" Type="http://schemas.openxmlformats.org/officeDocument/2006/relationships/hyperlink" Target="https://www.sciencedirect.com/science/article/abs/pii/S0920379600001587" TargetMode="External"/><Relationship Id="rId4" Type="http://schemas.openxmlformats.org/officeDocument/2006/relationships/hyperlink" Target="https://www.nrel.gov/docs/fy99osti/25119.pdf" TargetMode="External"/><Relationship Id="rId9" Type="http://schemas.openxmlformats.org/officeDocument/2006/relationships/hyperlink" Target="https://pubs.er.usgs.gov/publication/pp1006AB"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sciencedirect.com/science/article/abs/pii/S0921800914003681" TargetMode="External"/><Relationship Id="rId2" Type="http://schemas.openxmlformats.org/officeDocument/2006/relationships/hyperlink" Target="https://pdfs.semanticscholar.org/519e/a5c55a312f3f45ccfcc4a093a941366c6658.pdf" TargetMode="External"/><Relationship Id="rId1" Type="http://schemas.openxmlformats.org/officeDocument/2006/relationships/hyperlink" Target="https://pdfs.semanticscholar.org/519e/a5c55a312f3f45ccfcc4a093a941366c6658.pdf" TargetMode="External"/><Relationship Id="rId6" Type="http://schemas.openxmlformats.org/officeDocument/2006/relationships/hyperlink" Target="https://catalog.hathitrust.org/Record/101828841" TargetMode="External"/><Relationship Id="rId5" Type="http://schemas.openxmlformats.org/officeDocument/2006/relationships/hyperlink" Target="https://www.osti.gov/servlets/purl/5100383" TargetMode="External"/><Relationship Id="rId4" Type="http://schemas.openxmlformats.org/officeDocument/2006/relationships/hyperlink" Target="https://inis.iaea.org/collection/NCLCollectionStore/_Public/05/148/5148861.pdf"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ww.sciencedirect.com/science/article/abs/pii/S0921800914003681" TargetMode="External"/><Relationship Id="rId2" Type="http://schemas.openxmlformats.org/officeDocument/2006/relationships/hyperlink" Target="https://www.energy.gov/sites/prod/files/2014/02/f7/lifecycle_analysis_of_geothermal_systems.pdf" TargetMode="External"/><Relationship Id="rId1" Type="http://schemas.openxmlformats.org/officeDocument/2006/relationships/hyperlink" Target="http://esu-services.ch/fileadmin/download/publicLCI/flury-2012-hydroelectric-power-generation.pdf" TargetMode="External"/><Relationship Id="rId5" Type="http://schemas.openxmlformats.org/officeDocument/2006/relationships/hyperlink" Target="https://www.britannica.com/topic/Three-Gorges-Dam" TargetMode="External"/><Relationship Id="rId4" Type="http://schemas.openxmlformats.org/officeDocument/2006/relationships/hyperlink" Target="http://www.china-embassy.org/eng/zt/sxgc/t36512.htm"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mdpi.com/1996-1073/13/11/2839" TargetMode="External"/><Relationship Id="rId2" Type="http://schemas.openxmlformats.org/officeDocument/2006/relationships/hyperlink" Target="https://www.energy.gov/sites/prod/files/2014/02/f7/lifecycle_analysis_of_geothermal_systems.pdf" TargetMode="External"/><Relationship Id="rId1" Type="http://schemas.openxmlformats.org/officeDocument/2006/relationships/hyperlink" Target="https://link.springer.com/article/10.1007/s11367-014-0842-y" TargetMode="External"/><Relationship Id="rId5" Type="http://schemas.openxmlformats.org/officeDocument/2006/relationships/hyperlink" Target="https://www.sciencedirect.com/science/article/pii/S0375650517302912" TargetMode="External"/><Relationship Id="rId4" Type="http://schemas.openxmlformats.org/officeDocument/2006/relationships/hyperlink" Target="https://www.mdpi.com/2071-1050/12/7/2786"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https://www.nature.com/articles/ngeo2840" TargetMode="External"/><Relationship Id="rId1" Type="http://schemas.openxmlformats.org/officeDocument/2006/relationships/hyperlink" Target="https://www.escsi.org/wp-content/themes/escsi/assets/images/6%20Chapter%206%20Physical%20Properties%20of%20SLWC%20Complete.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FBCC2-E033-9045-B022-A95216AFA0C1}">
  <dimension ref="A1:B19"/>
  <sheetViews>
    <sheetView tabSelected="1" workbookViewId="0">
      <selection activeCell="B36" sqref="B36"/>
    </sheetView>
  </sheetViews>
  <sheetFormatPr baseColWidth="10" defaultRowHeight="13"/>
  <cols>
    <col min="1" max="1" width="16" bestFit="1" customWidth="1"/>
    <col min="2" max="2" width="65.83203125" customWidth="1"/>
  </cols>
  <sheetData>
    <row r="1" spans="1:2">
      <c r="A1" s="51" t="s">
        <v>546</v>
      </c>
      <c r="B1" s="51" t="s">
        <v>580</v>
      </c>
    </row>
    <row r="2" spans="1:2">
      <c r="A2" s="48" t="s">
        <v>1</v>
      </c>
      <c r="B2" s="51" t="s">
        <v>586</v>
      </c>
    </row>
    <row r="3" spans="1:2">
      <c r="A3" s="48" t="s">
        <v>2</v>
      </c>
      <c r="B3" s="51" t="s">
        <v>587</v>
      </c>
    </row>
    <row r="4" spans="1:2">
      <c r="A4" s="48" t="s">
        <v>3</v>
      </c>
      <c r="B4" s="51" t="s">
        <v>588</v>
      </c>
    </row>
    <row r="5" spans="1:2">
      <c r="A5" s="48" t="s">
        <v>4</v>
      </c>
      <c r="B5" s="51" t="s">
        <v>589</v>
      </c>
    </row>
    <row r="6" spans="1:2">
      <c r="A6" s="48" t="s">
        <v>154</v>
      </c>
      <c r="B6" s="51" t="s">
        <v>581</v>
      </c>
    </row>
    <row r="7" spans="1:2">
      <c r="A7" s="48" t="s">
        <v>155</v>
      </c>
      <c r="B7" s="51" t="s">
        <v>582</v>
      </c>
    </row>
    <row r="8" spans="1:2">
      <c r="A8" s="48" t="s">
        <v>156</v>
      </c>
      <c r="B8" s="51" t="s">
        <v>584</v>
      </c>
    </row>
    <row r="9" spans="1:2">
      <c r="A9" t="s">
        <v>157</v>
      </c>
      <c r="B9" s="51" t="s">
        <v>583</v>
      </c>
    </row>
    <row r="10" spans="1:2">
      <c r="A10" s="51" t="s">
        <v>158</v>
      </c>
      <c r="B10" s="51" t="s">
        <v>585</v>
      </c>
    </row>
    <row r="11" spans="1:2">
      <c r="A11" s="48" t="s">
        <v>265</v>
      </c>
    </row>
    <row r="12" spans="1:2">
      <c r="A12" t="s">
        <v>266</v>
      </c>
    </row>
    <row r="13" spans="1:2">
      <c r="A13" s="51" t="s">
        <v>568</v>
      </c>
    </row>
    <row r="14" spans="1:2">
      <c r="A14" s="51" t="s">
        <v>570</v>
      </c>
    </row>
    <row r="15" spans="1:2">
      <c r="A15" s="51" t="s">
        <v>571</v>
      </c>
    </row>
    <row r="16" spans="1:2">
      <c r="A16" s="51" t="s">
        <v>572</v>
      </c>
    </row>
    <row r="17" spans="1:1">
      <c r="A17" s="51" t="s">
        <v>330</v>
      </c>
    </row>
    <row r="18" spans="1:1">
      <c r="A18" s="51" t="s">
        <v>419</v>
      </c>
    </row>
    <row r="19" spans="1:1">
      <c r="A19" s="51" t="s">
        <v>578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E36C6-F3F9-3740-AB02-8C7B10C1F2DE}">
  <dimension ref="A1:D429"/>
  <sheetViews>
    <sheetView workbookViewId="0">
      <selection activeCell="F35" sqref="F35"/>
    </sheetView>
  </sheetViews>
  <sheetFormatPr baseColWidth="10" defaultRowHeight="13"/>
  <cols>
    <col min="1" max="1" width="19" bestFit="1" customWidth="1"/>
    <col min="2" max="2" width="7.1640625" bestFit="1" customWidth="1"/>
    <col min="3" max="3" width="20.6640625" bestFit="1" customWidth="1"/>
    <col min="4" max="4" width="23.5" bestFit="1" customWidth="1"/>
  </cols>
  <sheetData>
    <row r="1" spans="1:4">
      <c r="A1" s="48" t="s">
        <v>546</v>
      </c>
      <c r="B1" s="48" t="s">
        <v>0</v>
      </c>
      <c r="C1" s="48" t="s">
        <v>547</v>
      </c>
      <c r="D1" s="48" t="s">
        <v>548</v>
      </c>
    </row>
    <row r="2" spans="1:4">
      <c r="A2" s="48" t="s">
        <v>1</v>
      </c>
      <c r="B2" s="48" t="s">
        <v>6</v>
      </c>
      <c r="C2" s="48">
        <v>13200</v>
      </c>
      <c r="D2" s="48" t="s">
        <v>549</v>
      </c>
    </row>
    <row r="3" spans="1:4">
      <c r="A3" s="48" t="s">
        <v>1</v>
      </c>
      <c r="B3" s="48" t="s">
        <v>20</v>
      </c>
      <c r="C3" s="48">
        <v>38717</v>
      </c>
      <c r="D3" s="48" t="s">
        <v>549</v>
      </c>
    </row>
    <row r="4" spans="1:4">
      <c r="A4" s="48" t="s">
        <v>1</v>
      </c>
      <c r="B4" s="48" t="s">
        <v>20</v>
      </c>
      <c r="C4" s="48">
        <v>41456</v>
      </c>
      <c r="D4" s="48" t="s">
        <v>550</v>
      </c>
    </row>
    <row r="5" spans="1:4">
      <c r="A5" s="48" t="s">
        <v>1</v>
      </c>
      <c r="B5" s="48" t="s">
        <v>20</v>
      </c>
      <c r="C5" s="48">
        <v>60070</v>
      </c>
      <c r="D5" s="48" t="s">
        <v>549</v>
      </c>
    </row>
    <row r="6" spans="1:4">
      <c r="A6" s="48" t="s">
        <v>1</v>
      </c>
      <c r="B6" s="48" t="s">
        <v>20</v>
      </c>
      <c r="C6" s="48">
        <v>64320</v>
      </c>
      <c r="D6" s="48" t="s">
        <v>550</v>
      </c>
    </row>
    <row r="7" spans="1:4">
      <c r="A7" s="48" t="s">
        <v>1</v>
      </c>
      <c r="B7" s="48" t="s">
        <v>10</v>
      </c>
      <c r="C7" s="48">
        <v>3320</v>
      </c>
      <c r="D7" s="48" t="s">
        <v>549</v>
      </c>
    </row>
    <row r="8" spans="1:4">
      <c r="A8" s="48" t="s">
        <v>1</v>
      </c>
      <c r="B8" s="48" t="s">
        <v>10</v>
      </c>
      <c r="C8" s="48">
        <v>3000</v>
      </c>
      <c r="D8" s="48" t="s">
        <v>550</v>
      </c>
    </row>
    <row r="9" spans="1:4">
      <c r="A9" s="48" t="s">
        <v>1</v>
      </c>
      <c r="B9" s="48" t="s">
        <v>10</v>
      </c>
      <c r="C9" s="48">
        <v>4700</v>
      </c>
      <c r="D9" s="48" t="s">
        <v>551</v>
      </c>
    </row>
    <row r="10" spans="1:4">
      <c r="A10" s="48" t="s">
        <v>1</v>
      </c>
      <c r="B10" s="48" t="s">
        <v>10</v>
      </c>
      <c r="C10" s="48">
        <v>5761</v>
      </c>
      <c r="D10" s="48" t="s">
        <v>552</v>
      </c>
    </row>
    <row r="11" spans="1:4">
      <c r="A11" s="48" t="s">
        <v>1</v>
      </c>
      <c r="B11" s="48" t="s">
        <v>10</v>
      </c>
      <c r="C11" s="48">
        <v>2994</v>
      </c>
      <c r="D11" s="48" t="s">
        <v>552</v>
      </c>
    </row>
    <row r="12" spans="1:4">
      <c r="A12" s="48" t="s">
        <v>1</v>
      </c>
      <c r="B12" s="48" t="s">
        <v>10</v>
      </c>
      <c r="C12" s="48">
        <v>6759</v>
      </c>
      <c r="D12" s="48" t="s">
        <v>552</v>
      </c>
    </row>
    <row r="13" spans="1:4">
      <c r="A13" s="48" t="s">
        <v>1</v>
      </c>
      <c r="B13" s="48" t="s">
        <v>10</v>
      </c>
      <c r="C13" s="48">
        <v>2540</v>
      </c>
      <c r="D13" s="48" t="s">
        <v>552</v>
      </c>
    </row>
    <row r="14" spans="1:4">
      <c r="A14" s="48" t="s">
        <v>1</v>
      </c>
      <c r="B14" s="48" t="s">
        <v>10</v>
      </c>
      <c r="C14" s="48">
        <v>3538</v>
      </c>
      <c r="D14" s="48" t="s">
        <v>552</v>
      </c>
    </row>
    <row r="15" spans="1:4">
      <c r="A15" s="48" t="s">
        <v>1</v>
      </c>
      <c r="B15" s="48" t="s">
        <v>11</v>
      </c>
      <c r="C15" s="48">
        <v>12</v>
      </c>
      <c r="D15" s="48" t="s">
        <v>553</v>
      </c>
    </row>
    <row r="16" spans="1:4">
      <c r="A16" s="48" t="s">
        <v>1</v>
      </c>
      <c r="B16" s="48" t="s">
        <v>11</v>
      </c>
      <c r="C16" s="48">
        <v>28</v>
      </c>
      <c r="D16" s="48" t="s">
        <v>554</v>
      </c>
    </row>
    <row r="17" spans="1:4">
      <c r="A17" s="48" t="s">
        <v>1</v>
      </c>
      <c r="B17" s="48" t="s">
        <v>21</v>
      </c>
      <c r="C17" s="48">
        <v>9580</v>
      </c>
      <c r="D17" s="48" t="s">
        <v>549</v>
      </c>
    </row>
    <row r="18" spans="1:4">
      <c r="A18" s="48" t="s">
        <v>1</v>
      </c>
      <c r="B18" s="48" t="s">
        <v>21</v>
      </c>
      <c r="C18" s="48">
        <v>6800</v>
      </c>
      <c r="D18" s="48" t="s">
        <v>550</v>
      </c>
    </row>
    <row r="19" spans="1:4">
      <c r="A19" s="48" t="s">
        <v>1</v>
      </c>
      <c r="B19" s="48" t="s">
        <v>15</v>
      </c>
      <c r="C19" s="48">
        <v>186</v>
      </c>
      <c r="D19" s="48" t="s">
        <v>553</v>
      </c>
    </row>
    <row r="20" spans="1:4">
      <c r="A20" s="48" t="s">
        <v>1</v>
      </c>
      <c r="B20" s="48" t="s">
        <v>15</v>
      </c>
      <c r="C20" s="48">
        <v>216</v>
      </c>
      <c r="D20" s="48" t="s">
        <v>550</v>
      </c>
    </row>
    <row r="21" spans="1:4">
      <c r="A21" s="48" t="s">
        <v>1</v>
      </c>
      <c r="B21" s="48" t="s">
        <v>15</v>
      </c>
      <c r="C21" s="48">
        <v>198</v>
      </c>
      <c r="D21" s="48" t="s">
        <v>554</v>
      </c>
    </row>
    <row r="22" spans="1:4">
      <c r="A22" s="48" t="s">
        <v>1</v>
      </c>
      <c r="B22" s="48" t="s">
        <v>16</v>
      </c>
      <c r="C22" s="48">
        <v>377</v>
      </c>
      <c r="D22" s="48" t="s">
        <v>555</v>
      </c>
    </row>
    <row r="23" spans="1:4">
      <c r="A23" s="48" t="s">
        <v>1</v>
      </c>
      <c r="B23" s="48" t="s">
        <v>18</v>
      </c>
      <c r="C23" s="48">
        <v>122780</v>
      </c>
      <c r="D23" s="48" t="s">
        <v>549</v>
      </c>
    </row>
    <row r="24" spans="1:4">
      <c r="A24" s="48" t="s">
        <v>1</v>
      </c>
      <c r="B24" s="48" t="s">
        <v>18</v>
      </c>
      <c r="C24" s="48">
        <v>123000</v>
      </c>
      <c r="D24" s="48" t="s">
        <v>550</v>
      </c>
    </row>
    <row r="25" spans="1:4">
      <c r="A25" s="48" t="s">
        <v>2</v>
      </c>
      <c r="B25" s="48" t="s">
        <v>6</v>
      </c>
      <c r="C25" s="48">
        <v>4900</v>
      </c>
      <c r="D25" s="48" t="s">
        <v>556</v>
      </c>
    </row>
    <row r="26" spans="1:4">
      <c r="A26" s="48" t="s">
        <v>2</v>
      </c>
      <c r="B26" s="48" t="s">
        <v>6</v>
      </c>
      <c r="C26" s="48">
        <v>5080</v>
      </c>
      <c r="D26" s="48" t="s">
        <v>557</v>
      </c>
    </row>
    <row r="27" spans="1:4">
      <c r="A27" s="48" t="s">
        <v>2</v>
      </c>
      <c r="B27" s="48" t="s">
        <v>20</v>
      </c>
      <c r="C27" s="48">
        <v>41388</v>
      </c>
      <c r="D27" s="48" t="s">
        <v>556</v>
      </c>
    </row>
    <row r="28" spans="1:4">
      <c r="A28" s="48" t="s">
        <v>2</v>
      </c>
      <c r="B28" s="48" t="s">
        <v>20</v>
      </c>
      <c r="C28" s="48">
        <v>47099</v>
      </c>
      <c r="D28" s="48" t="s">
        <v>557</v>
      </c>
    </row>
    <row r="29" spans="1:4">
      <c r="A29" s="48" t="s">
        <v>2</v>
      </c>
      <c r="B29" s="48" t="s">
        <v>20</v>
      </c>
      <c r="C29" s="48">
        <v>41456</v>
      </c>
      <c r="D29" s="48" t="s">
        <v>550</v>
      </c>
    </row>
    <row r="30" spans="1:4">
      <c r="A30" s="48" t="s">
        <v>2</v>
      </c>
      <c r="B30" s="48" t="s">
        <v>20</v>
      </c>
      <c r="C30" s="48">
        <v>64214</v>
      </c>
      <c r="D30" s="48" t="s">
        <v>556</v>
      </c>
    </row>
    <row r="31" spans="1:4">
      <c r="A31" s="48" t="s">
        <v>2</v>
      </c>
      <c r="B31" s="48" t="s">
        <v>20</v>
      </c>
      <c r="C31" s="48">
        <v>73075</v>
      </c>
      <c r="D31" s="48" t="s">
        <v>557</v>
      </c>
    </row>
    <row r="32" spans="1:4">
      <c r="A32" s="48" t="s">
        <v>2</v>
      </c>
      <c r="B32" s="48" t="s">
        <v>20</v>
      </c>
      <c r="C32" s="48">
        <v>64320</v>
      </c>
      <c r="D32" s="48" t="s">
        <v>550</v>
      </c>
    </row>
    <row r="33" spans="1:4">
      <c r="A33" s="48" t="s">
        <v>2</v>
      </c>
      <c r="B33" s="48" t="s">
        <v>10</v>
      </c>
      <c r="C33" s="48">
        <v>1700</v>
      </c>
      <c r="D33" s="48" t="s">
        <v>556</v>
      </c>
    </row>
    <row r="34" spans="1:4">
      <c r="A34" s="48" t="s">
        <v>2</v>
      </c>
      <c r="B34" s="48" t="s">
        <v>10</v>
      </c>
      <c r="C34" s="48">
        <v>1740</v>
      </c>
      <c r="D34" s="48" t="s">
        <v>557</v>
      </c>
    </row>
    <row r="35" spans="1:4">
      <c r="A35" s="48" t="s">
        <v>2</v>
      </c>
      <c r="B35" s="48" t="s">
        <v>10</v>
      </c>
      <c r="C35" s="48">
        <v>1850</v>
      </c>
      <c r="D35" s="48" t="s">
        <v>67</v>
      </c>
    </row>
    <row r="36" spans="1:4">
      <c r="A36" s="48" t="s">
        <v>2</v>
      </c>
      <c r="B36" s="48" t="s">
        <v>21</v>
      </c>
      <c r="C36" s="48">
        <v>8980</v>
      </c>
      <c r="D36" s="48" t="s">
        <v>556</v>
      </c>
    </row>
    <row r="37" spans="1:4">
      <c r="A37" s="48" t="s">
        <v>2</v>
      </c>
      <c r="B37" s="48" t="s">
        <v>21</v>
      </c>
      <c r="C37" s="48">
        <v>7400</v>
      </c>
      <c r="D37" s="48" t="s">
        <v>557</v>
      </c>
    </row>
    <row r="38" spans="1:4">
      <c r="A38" s="48" t="s">
        <v>2</v>
      </c>
      <c r="B38" s="48" t="s">
        <v>21</v>
      </c>
      <c r="C38" s="48">
        <v>6800</v>
      </c>
      <c r="D38" s="48" t="s">
        <v>550</v>
      </c>
    </row>
    <row r="39" spans="1:4">
      <c r="A39" s="48" t="s">
        <v>2</v>
      </c>
      <c r="B39" s="48" t="s">
        <v>16</v>
      </c>
      <c r="C39" s="48">
        <v>377</v>
      </c>
      <c r="D39" s="48" t="s">
        <v>555</v>
      </c>
    </row>
    <row r="40" spans="1:4">
      <c r="A40" s="48" t="s">
        <v>2</v>
      </c>
      <c r="B40" s="48" t="s">
        <v>18</v>
      </c>
      <c r="C40" s="48">
        <v>120480</v>
      </c>
      <c r="D40" s="48" t="s">
        <v>556</v>
      </c>
    </row>
    <row r="41" spans="1:4">
      <c r="A41" s="48" t="s">
        <v>2</v>
      </c>
      <c r="B41" s="48" t="s">
        <v>18</v>
      </c>
      <c r="C41" s="48">
        <v>130480</v>
      </c>
      <c r="D41" s="48" t="s">
        <v>557</v>
      </c>
    </row>
    <row r="42" spans="1:4">
      <c r="A42" s="48" t="s">
        <v>2</v>
      </c>
      <c r="B42" s="48" t="s">
        <v>18</v>
      </c>
      <c r="C42" s="48">
        <v>123000</v>
      </c>
      <c r="D42" s="48" t="s">
        <v>550</v>
      </c>
    </row>
    <row r="43" spans="1:4">
      <c r="A43" s="48" t="s">
        <v>3</v>
      </c>
      <c r="B43" s="48" t="s">
        <v>6</v>
      </c>
      <c r="C43" s="48">
        <v>1000</v>
      </c>
      <c r="D43" s="48" t="s">
        <v>118</v>
      </c>
    </row>
    <row r="44" spans="1:4">
      <c r="A44" s="48" t="s">
        <v>3</v>
      </c>
      <c r="B44" s="48" t="s">
        <v>6</v>
      </c>
      <c r="C44" s="48">
        <v>898</v>
      </c>
      <c r="D44" s="48" t="s">
        <v>118</v>
      </c>
    </row>
    <row r="45" spans="1:4">
      <c r="A45" s="48" t="s">
        <v>3</v>
      </c>
      <c r="B45" s="48" t="s">
        <v>6</v>
      </c>
      <c r="C45" s="48">
        <v>898</v>
      </c>
      <c r="D45" s="48" t="s">
        <v>118</v>
      </c>
    </row>
    <row r="46" spans="1:4">
      <c r="A46" s="48" t="s">
        <v>3</v>
      </c>
      <c r="B46" s="48" t="s">
        <v>6</v>
      </c>
      <c r="C46" s="48">
        <v>556</v>
      </c>
      <c r="D46" s="48" t="s">
        <v>118</v>
      </c>
    </row>
    <row r="47" spans="1:4">
      <c r="A47" s="48" t="s">
        <v>3</v>
      </c>
      <c r="B47" s="48" t="s">
        <v>6</v>
      </c>
      <c r="C47" s="48">
        <v>2140</v>
      </c>
      <c r="D47" s="48" t="s">
        <v>558</v>
      </c>
    </row>
    <row r="48" spans="1:4">
      <c r="A48" s="48" t="s">
        <v>3</v>
      </c>
      <c r="B48" s="48" t="s">
        <v>20</v>
      </c>
      <c r="C48" s="48">
        <v>142</v>
      </c>
      <c r="D48" s="48" t="s">
        <v>558</v>
      </c>
    </row>
    <row r="49" spans="1:4">
      <c r="A49" s="48" t="s">
        <v>3</v>
      </c>
      <c r="B49" s="48" t="s">
        <v>20</v>
      </c>
      <c r="C49" s="48">
        <v>220</v>
      </c>
      <c r="D49" s="48" t="s">
        <v>558</v>
      </c>
    </row>
    <row r="50" spans="1:4">
      <c r="A50" s="48" t="s">
        <v>3</v>
      </c>
      <c r="B50" s="48" t="s">
        <v>10</v>
      </c>
      <c r="C50" s="48">
        <v>10000</v>
      </c>
      <c r="D50" s="48" t="s">
        <v>67</v>
      </c>
    </row>
    <row r="51" spans="1:4">
      <c r="A51" s="48" t="s">
        <v>3</v>
      </c>
      <c r="B51" s="48" t="s">
        <v>10</v>
      </c>
      <c r="C51" s="48">
        <v>9580</v>
      </c>
      <c r="D51" s="48" t="s">
        <v>559</v>
      </c>
    </row>
    <row r="52" spans="1:4">
      <c r="A52" s="48" t="s">
        <v>3</v>
      </c>
      <c r="B52" s="48" t="s">
        <v>10</v>
      </c>
      <c r="C52" s="48">
        <v>1650</v>
      </c>
      <c r="D52" s="48" t="s">
        <v>118</v>
      </c>
    </row>
    <row r="53" spans="1:4">
      <c r="A53" s="48" t="s">
        <v>3</v>
      </c>
      <c r="B53" s="48" t="s">
        <v>10</v>
      </c>
      <c r="C53" s="48">
        <v>5218</v>
      </c>
      <c r="D53" s="48" t="s">
        <v>118</v>
      </c>
    </row>
    <row r="54" spans="1:4">
      <c r="A54" s="48" t="s">
        <v>3</v>
      </c>
      <c r="B54" s="48" t="s">
        <v>10</v>
      </c>
      <c r="C54" s="48">
        <v>5218</v>
      </c>
      <c r="D54" s="48" t="s">
        <v>118</v>
      </c>
    </row>
    <row r="55" spans="1:4">
      <c r="A55" s="48" t="s">
        <v>3</v>
      </c>
      <c r="B55" s="48" t="s">
        <v>10</v>
      </c>
      <c r="C55" s="48">
        <v>9601</v>
      </c>
      <c r="D55" s="48" t="s">
        <v>118</v>
      </c>
    </row>
    <row r="56" spans="1:4">
      <c r="A56" s="48" t="s">
        <v>3</v>
      </c>
      <c r="B56" s="48" t="s">
        <v>10</v>
      </c>
      <c r="C56" s="48">
        <v>2337</v>
      </c>
      <c r="D56" s="48" t="s">
        <v>558</v>
      </c>
    </row>
    <row r="57" spans="1:4">
      <c r="A57" s="48" t="s">
        <v>3</v>
      </c>
      <c r="B57" s="48" t="s">
        <v>11</v>
      </c>
      <c r="C57" s="48">
        <v>12</v>
      </c>
      <c r="D57" s="48" t="s">
        <v>553</v>
      </c>
    </row>
    <row r="58" spans="1:4">
      <c r="A58" s="48" t="s">
        <v>3</v>
      </c>
      <c r="B58" s="48" t="s">
        <v>11</v>
      </c>
      <c r="C58" s="48">
        <v>28</v>
      </c>
      <c r="D58" s="48" t="s">
        <v>554</v>
      </c>
    </row>
    <row r="59" spans="1:4">
      <c r="A59" s="48" t="s">
        <v>3</v>
      </c>
      <c r="B59" s="48" t="s">
        <v>21</v>
      </c>
      <c r="C59" s="48">
        <v>5823</v>
      </c>
      <c r="D59" s="48" t="s">
        <v>118</v>
      </c>
    </row>
    <row r="60" spans="1:4">
      <c r="A60" s="48" t="s">
        <v>3</v>
      </c>
      <c r="B60" s="48" t="s">
        <v>21</v>
      </c>
      <c r="C60" s="48">
        <v>5833</v>
      </c>
      <c r="D60" s="48" t="s">
        <v>118</v>
      </c>
    </row>
    <row r="61" spans="1:4">
      <c r="A61" s="48" t="s">
        <v>3</v>
      </c>
      <c r="B61" s="48" t="s">
        <v>21</v>
      </c>
      <c r="C61" s="48">
        <v>5833</v>
      </c>
      <c r="D61" s="48" t="s">
        <v>118</v>
      </c>
    </row>
    <row r="62" spans="1:4">
      <c r="A62" s="48" t="s">
        <v>3</v>
      </c>
      <c r="B62" s="48" t="s">
        <v>21</v>
      </c>
      <c r="C62" s="48">
        <v>10551</v>
      </c>
      <c r="D62" s="48" t="s">
        <v>118</v>
      </c>
    </row>
    <row r="63" spans="1:4">
      <c r="A63" s="48" t="s">
        <v>3</v>
      </c>
      <c r="B63" s="48" t="s">
        <v>21</v>
      </c>
      <c r="C63" s="48">
        <v>10921</v>
      </c>
      <c r="D63" s="48" t="s">
        <v>558</v>
      </c>
    </row>
    <row r="64" spans="1:4">
      <c r="A64" s="48" t="s">
        <v>3</v>
      </c>
      <c r="B64" s="48" t="s">
        <v>15</v>
      </c>
      <c r="C64" s="48">
        <v>186</v>
      </c>
      <c r="D64" s="48" t="s">
        <v>553</v>
      </c>
    </row>
    <row r="65" spans="1:4">
      <c r="A65" s="48" t="s">
        <v>3</v>
      </c>
      <c r="B65" s="48" t="s">
        <v>15</v>
      </c>
      <c r="C65" s="48">
        <v>216</v>
      </c>
      <c r="D65" s="48" t="s">
        <v>550</v>
      </c>
    </row>
    <row r="66" spans="1:4">
      <c r="A66" s="48" t="s">
        <v>3</v>
      </c>
      <c r="B66" s="48" t="s">
        <v>15</v>
      </c>
      <c r="C66" s="48">
        <v>198</v>
      </c>
      <c r="D66" s="48" t="s">
        <v>554</v>
      </c>
    </row>
    <row r="67" spans="1:4">
      <c r="A67" s="48" t="s">
        <v>3</v>
      </c>
      <c r="B67" s="48" t="s">
        <v>16</v>
      </c>
      <c r="C67" s="48">
        <v>377</v>
      </c>
      <c r="D67" s="48" t="s">
        <v>555</v>
      </c>
    </row>
    <row r="68" spans="1:4">
      <c r="A68" s="48" t="s">
        <v>3</v>
      </c>
      <c r="B68" s="48" t="s">
        <v>18</v>
      </c>
      <c r="C68" s="48">
        <v>147576</v>
      </c>
      <c r="D68" s="48" t="s">
        <v>118</v>
      </c>
    </row>
    <row r="69" spans="1:4">
      <c r="A69" s="48" t="s">
        <v>3</v>
      </c>
      <c r="B69" s="48" t="s">
        <v>18</v>
      </c>
      <c r="C69" s="48">
        <v>803094</v>
      </c>
      <c r="D69" s="48" t="s">
        <v>118</v>
      </c>
    </row>
    <row r="70" spans="1:4">
      <c r="A70" s="48" t="s">
        <v>3</v>
      </c>
      <c r="B70" s="48" t="s">
        <v>18</v>
      </c>
      <c r="C70" s="48">
        <v>917224</v>
      </c>
      <c r="D70" s="48" t="s">
        <v>118</v>
      </c>
    </row>
    <row r="71" spans="1:4">
      <c r="A71" s="48" t="s">
        <v>3</v>
      </c>
      <c r="B71" s="48" t="s">
        <v>18</v>
      </c>
      <c r="C71" s="48">
        <v>530417</v>
      </c>
      <c r="D71" s="48" t="s">
        <v>118</v>
      </c>
    </row>
    <row r="72" spans="1:4">
      <c r="A72" s="48" t="s">
        <v>3</v>
      </c>
      <c r="B72" s="48" t="s">
        <v>18</v>
      </c>
      <c r="C72" s="48">
        <v>193257</v>
      </c>
      <c r="D72" s="48" t="s">
        <v>558</v>
      </c>
    </row>
    <row r="73" spans="1:4">
      <c r="A73" s="48" t="s">
        <v>4</v>
      </c>
      <c r="B73" s="48" t="s">
        <v>6</v>
      </c>
      <c r="C73" s="48">
        <v>1000</v>
      </c>
      <c r="D73" s="48" t="s">
        <v>118</v>
      </c>
    </row>
    <row r="74" spans="1:4">
      <c r="A74" s="48" t="s">
        <v>4</v>
      </c>
      <c r="B74" s="48" t="s">
        <v>6</v>
      </c>
      <c r="C74" s="48">
        <v>898</v>
      </c>
      <c r="D74" s="48" t="s">
        <v>118</v>
      </c>
    </row>
    <row r="75" spans="1:4">
      <c r="A75" s="48" t="s">
        <v>4</v>
      </c>
      <c r="B75" s="48" t="s">
        <v>6</v>
      </c>
      <c r="C75" s="48">
        <v>898</v>
      </c>
      <c r="D75" s="48" t="s">
        <v>118</v>
      </c>
    </row>
    <row r="76" spans="1:4">
      <c r="A76" s="48" t="s">
        <v>4</v>
      </c>
      <c r="B76" s="48" t="s">
        <v>6</v>
      </c>
      <c r="C76" s="48">
        <v>556</v>
      </c>
      <c r="D76" s="48" t="s">
        <v>118</v>
      </c>
    </row>
    <row r="77" spans="1:4">
      <c r="A77" s="48" t="s">
        <v>4</v>
      </c>
      <c r="B77" s="48" t="s">
        <v>6</v>
      </c>
      <c r="C77" s="48">
        <v>2140</v>
      </c>
      <c r="D77" s="48" t="s">
        <v>558</v>
      </c>
    </row>
    <row r="78" spans="1:4">
      <c r="A78" s="48" t="s">
        <v>4</v>
      </c>
      <c r="B78" s="48" t="s">
        <v>20</v>
      </c>
      <c r="C78" s="48">
        <v>142</v>
      </c>
      <c r="D78" s="48" t="s">
        <v>558</v>
      </c>
    </row>
    <row r="79" spans="1:4">
      <c r="A79" s="48" t="s">
        <v>4</v>
      </c>
      <c r="B79" s="48" t="s">
        <v>20</v>
      </c>
      <c r="C79" s="48">
        <v>220</v>
      </c>
      <c r="D79" s="48" t="s">
        <v>558</v>
      </c>
    </row>
    <row r="80" spans="1:4">
      <c r="A80" s="48" t="s">
        <v>4</v>
      </c>
      <c r="B80" s="48" t="s">
        <v>10</v>
      </c>
      <c r="C80" s="48">
        <v>10000</v>
      </c>
      <c r="D80" s="48" t="s">
        <v>67</v>
      </c>
    </row>
    <row r="81" spans="1:4">
      <c r="A81" s="48" t="s">
        <v>4</v>
      </c>
      <c r="B81" s="48" t="s">
        <v>10</v>
      </c>
      <c r="C81" s="48">
        <v>9580</v>
      </c>
      <c r="D81" s="48" t="s">
        <v>559</v>
      </c>
    </row>
    <row r="82" spans="1:4">
      <c r="A82" s="48" t="s">
        <v>4</v>
      </c>
      <c r="B82" s="48" t="s">
        <v>10</v>
      </c>
      <c r="C82" s="48">
        <v>1650</v>
      </c>
      <c r="D82" s="48" t="s">
        <v>118</v>
      </c>
    </row>
    <row r="83" spans="1:4">
      <c r="A83" s="48" t="s">
        <v>4</v>
      </c>
      <c r="B83" s="48" t="s">
        <v>10</v>
      </c>
      <c r="C83" s="48">
        <v>5218</v>
      </c>
      <c r="D83" s="48" t="s">
        <v>118</v>
      </c>
    </row>
    <row r="84" spans="1:4">
      <c r="A84" s="48" t="s">
        <v>4</v>
      </c>
      <c r="B84" s="48" t="s">
        <v>10</v>
      </c>
      <c r="C84" s="48">
        <v>5218</v>
      </c>
      <c r="D84" s="48" t="s">
        <v>118</v>
      </c>
    </row>
    <row r="85" spans="1:4">
      <c r="A85" s="48" t="s">
        <v>4</v>
      </c>
      <c r="B85" s="48" t="s">
        <v>10</v>
      </c>
      <c r="C85" s="48">
        <v>9601</v>
      </c>
      <c r="D85" s="48" t="s">
        <v>118</v>
      </c>
    </row>
    <row r="86" spans="1:4">
      <c r="A86" s="48" t="s">
        <v>4</v>
      </c>
      <c r="B86" s="48" t="s">
        <v>10</v>
      </c>
      <c r="C86" s="48">
        <v>2337</v>
      </c>
      <c r="D86" s="48" t="s">
        <v>558</v>
      </c>
    </row>
    <row r="87" spans="1:4">
      <c r="A87" s="48" t="s">
        <v>4</v>
      </c>
      <c r="B87" s="48" t="s">
        <v>21</v>
      </c>
      <c r="C87" s="48">
        <v>5823</v>
      </c>
      <c r="D87" s="48" t="s">
        <v>118</v>
      </c>
    </row>
    <row r="88" spans="1:4">
      <c r="A88" s="48" t="s">
        <v>4</v>
      </c>
      <c r="B88" s="48" t="s">
        <v>21</v>
      </c>
      <c r="C88" s="48">
        <v>5833</v>
      </c>
      <c r="D88" s="48" t="s">
        <v>118</v>
      </c>
    </row>
    <row r="89" spans="1:4">
      <c r="A89" s="48" t="s">
        <v>4</v>
      </c>
      <c r="B89" s="48" t="s">
        <v>21</v>
      </c>
      <c r="C89" s="48">
        <v>5833</v>
      </c>
      <c r="D89" s="48" t="s">
        <v>118</v>
      </c>
    </row>
    <row r="90" spans="1:4">
      <c r="A90" s="48" t="s">
        <v>4</v>
      </c>
      <c r="B90" s="48" t="s">
        <v>21</v>
      </c>
      <c r="C90" s="48">
        <v>10551</v>
      </c>
      <c r="D90" s="48" t="s">
        <v>118</v>
      </c>
    </row>
    <row r="91" spans="1:4">
      <c r="A91" s="48" t="s">
        <v>4</v>
      </c>
      <c r="B91" s="48" t="s">
        <v>21</v>
      </c>
      <c r="C91" s="48">
        <v>10921</v>
      </c>
      <c r="D91" s="48" t="s">
        <v>558</v>
      </c>
    </row>
    <row r="92" spans="1:4">
      <c r="A92" s="48" t="s">
        <v>4</v>
      </c>
      <c r="B92" s="48" t="s">
        <v>16</v>
      </c>
      <c r="C92" s="48">
        <v>377</v>
      </c>
      <c r="D92" s="48" t="s">
        <v>555</v>
      </c>
    </row>
    <row r="93" spans="1:4">
      <c r="A93" s="48" t="s">
        <v>4</v>
      </c>
      <c r="B93" s="48" t="s">
        <v>18</v>
      </c>
      <c r="C93" s="48">
        <v>147576</v>
      </c>
      <c r="D93" s="48" t="s">
        <v>118</v>
      </c>
    </row>
    <row r="94" spans="1:4">
      <c r="A94" s="48" t="s">
        <v>4</v>
      </c>
      <c r="B94" s="48" t="s">
        <v>18</v>
      </c>
      <c r="C94" s="48">
        <v>803094</v>
      </c>
      <c r="D94" s="48" t="s">
        <v>118</v>
      </c>
    </row>
    <row r="95" spans="1:4">
      <c r="A95" s="48" t="s">
        <v>4</v>
      </c>
      <c r="B95" s="48" t="s">
        <v>18</v>
      </c>
      <c r="C95" s="48">
        <v>917224</v>
      </c>
      <c r="D95" s="48" t="s">
        <v>118</v>
      </c>
    </row>
    <row r="96" spans="1:4">
      <c r="A96" s="48" t="s">
        <v>4</v>
      </c>
      <c r="B96" s="48" t="s">
        <v>18</v>
      </c>
      <c r="C96" s="48">
        <v>530417</v>
      </c>
      <c r="D96" s="48" t="s">
        <v>118</v>
      </c>
    </row>
    <row r="97" spans="1:4">
      <c r="A97" s="48" t="s">
        <v>4</v>
      </c>
      <c r="B97" s="48" t="s">
        <v>18</v>
      </c>
      <c r="C97" s="48">
        <v>193257</v>
      </c>
      <c r="D97" s="48" t="s">
        <v>558</v>
      </c>
    </row>
    <row r="98" spans="1:4">
      <c r="A98" s="48" t="s">
        <v>154</v>
      </c>
      <c r="B98" s="48" t="s">
        <v>5</v>
      </c>
      <c r="C98" s="48">
        <v>10</v>
      </c>
      <c r="D98" s="48" t="s">
        <v>560</v>
      </c>
    </row>
    <row r="99" spans="1:4">
      <c r="A99" s="48" t="s">
        <v>154</v>
      </c>
      <c r="B99" s="48" t="s">
        <v>6</v>
      </c>
      <c r="C99" s="48">
        <v>38500</v>
      </c>
      <c r="D99" s="48" t="s">
        <v>175</v>
      </c>
    </row>
    <row r="100" spans="1:4">
      <c r="A100" s="48" t="s">
        <v>154</v>
      </c>
      <c r="B100" s="48" t="s">
        <v>6</v>
      </c>
      <c r="C100" s="48">
        <v>8500</v>
      </c>
      <c r="D100" s="48" t="s">
        <v>562</v>
      </c>
    </row>
    <row r="101" spans="1:4">
      <c r="A101" s="48" t="s">
        <v>154</v>
      </c>
      <c r="B101" s="48" t="s">
        <v>6</v>
      </c>
      <c r="C101" s="48">
        <v>19000</v>
      </c>
      <c r="D101" s="48" t="s">
        <v>561</v>
      </c>
    </row>
    <row r="102" spans="1:4">
      <c r="A102" s="48" t="s">
        <v>154</v>
      </c>
      <c r="B102" s="48" t="s">
        <v>6</v>
      </c>
      <c r="C102" s="48">
        <v>19000</v>
      </c>
      <c r="D102" s="48" t="s">
        <v>245</v>
      </c>
    </row>
    <row r="103" spans="1:4">
      <c r="A103" s="48" t="s">
        <v>154</v>
      </c>
      <c r="B103" s="48" t="s">
        <v>20</v>
      </c>
      <c r="C103" s="48">
        <v>6497</v>
      </c>
      <c r="D103" s="48" t="s">
        <v>562</v>
      </c>
    </row>
    <row r="104" spans="1:4">
      <c r="A104" s="48" t="s">
        <v>154</v>
      </c>
      <c r="B104" s="48" t="s">
        <v>20</v>
      </c>
      <c r="C104" s="48">
        <v>6775</v>
      </c>
      <c r="D104" s="48" t="s">
        <v>561</v>
      </c>
    </row>
    <row r="105" spans="1:4">
      <c r="A105" s="48" t="s">
        <v>154</v>
      </c>
      <c r="B105" s="48" t="s">
        <v>20</v>
      </c>
      <c r="C105" s="48">
        <v>10080</v>
      </c>
      <c r="D105" s="48" t="s">
        <v>562</v>
      </c>
    </row>
    <row r="106" spans="1:4">
      <c r="A106" s="48" t="s">
        <v>154</v>
      </c>
      <c r="B106" s="48" t="s">
        <v>20</v>
      </c>
      <c r="C106" s="48">
        <v>10512</v>
      </c>
      <c r="D106" s="48" t="s">
        <v>561</v>
      </c>
    </row>
    <row r="107" spans="1:4">
      <c r="A107" s="48" t="s">
        <v>154</v>
      </c>
      <c r="B107" s="48" t="s">
        <v>20</v>
      </c>
      <c r="C107" s="48">
        <v>4847</v>
      </c>
      <c r="D107" s="48" t="s">
        <v>245</v>
      </c>
    </row>
    <row r="108" spans="1:4">
      <c r="A108" s="48" t="s">
        <v>154</v>
      </c>
      <c r="B108" s="48" t="s">
        <v>20</v>
      </c>
      <c r="C108" s="48">
        <v>7520</v>
      </c>
      <c r="D108" s="48" t="s">
        <v>245</v>
      </c>
    </row>
    <row r="109" spans="1:4">
      <c r="A109" s="48" t="s">
        <v>154</v>
      </c>
      <c r="B109" s="48" t="s">
        <v>10</v>
      </c>
      <c r="C109" s="48">
        <v>7000</v>
      </c>
      <c r="D109" s="48" t="s">
        <v>552</v>
      </c>
    </row>
    <row r="110" spans="1:4">
      <c r="A110" s="48" t="s">
        <v>154</v>
      </c>
      <c r="B110" s="48" t="s">
        <v>10</v>
      </c>
      <c r="C110" s="48">
        <v>4900</v>
      </c>
      <c r="D110" s="48" t="s">
        <v>562</v>
      </c>
    </row>
    <row r="111" spans="1:4">
      <c r="A111" s="48" t="s">
        <v>154</v>
      </c>
      <c r="B111" s="48" t="s">
        <v>10</v>
      </c>
      <c r="C111" s="48">
        <v>7530</v>
      </c>
      <c r="D111" s="48" t="s">
        <v>561</v>
      </c>
    </row>
    <row r="112" spans="1:4">
      <c r="A112" s="48" t="s">
        <v>154</v>
      </c>
      <c r="B112" s="48" t="s">
        <v>10</v>
      </c>
      <c r="C112" s="48">
        <v>7000</v>
      </c>
      <c r="D112" s="48" t="s">
        <v>245</v>
      </c>
    </row>
    <row r="113" spans="1:4">
      <c r="A113" s="48" t="s">
        <v>154</v>
      </c>
      <c r="B113" s="48" t="s">
        <v>160</v>
      </c>
      <c r="C113" s="48">
        <v>50000</v>
      </c>
      <c r="D113" s="48" t="s">
        <v>616</v>
      </c>
    </row>
    <row r="114" spans="1:4">
      <c r="A114" s="48" t="s">
        <v>154</v>
      </c>
      <c r="B114" s="48" t="s">
        <v>160</v>
      </c>
      <c r="C114" s="48">
        <v>70000</v>
      </c>
      <c r="D114" s="48" t="s">
        <v>245</v>
      </c>
    </row>
    <row r="115" spans="1:4">
      <c r="A115" s="48" t="s">
        <v>154</v>
      </c>
      <c r="B115" s="48" t="s">
        <v>160</v>
      </c>
      <c r="C115" s="48">
        <v>66700</v>
      </c>
      <c r="D115" s="48" t="s">
        <v>617</v>
      </c>
    </row>
    <row r="116" spans="1:4">
      <c r="A116" s="48" t="s">
        <v>154</v>
      </c>
      <c r="B116" s="48" t="s">
        <v>160</v>
      </c>
      <c r="C116" s="48">
        <v>53400</v>
      </c>
      <c r="D116" s="48" t="s">
        <v>253</v>
      </c>
    </row>
    <row r="117" spans="1:4">
      <c r="A117" s="48" t="s">
        <v>154</v>
      </c>
      <c r="B117" s="48" t="s">
        <v>16</v>
      </c>
      <c r="C117" s="48">
        <v>1</v>
      </c>
      <c r="D117" s="48" t="s">
        <v>618</v>
      </c>
    </row>
    <row r="118" spans="1:4">
      <c r="A118" s="48" t="s">
        <v>154</v>
      </c>
      <c r="B118" s="48" t="s">
        <v>159</v>
      </c>
      <c r="C118" s="48">
        <v>638</v>
      </c>
      <c r="D118" s="48" t="s">
        <v>619</v>
      </c>
    </row>
    <row r="119" spans="1:4">
      <c r="A119" s="48" t="s">
        <v>154</v>
      </c>
      <c r="B119" s="48" t="s">
        <v>159</v>
      </c>
      <c r="C119" s="48">
        <v>2882</v>
      </c>
      <c r="D119" s="48" t="s">
        <v>619</v>
      </c>
    </row>
    <row r="120" spans="1:4">
      <c r="A120" s="48" t="s">
        <v>154</v>
      </c>
      <c r="B120" s="48" t="s">
        <v>159</v>
      </c>
      <c r="C120" s="48">
        <v>6629</v>
      </c>
      <c r="D120" s="48" t="s">
        <v>619</v>
      </c>
    </row>
    <row r="121" spans="1:4">
      <c r="A121" s="48" t="s">
        <v>154</v>
      </c>
      <c r="B121" s="48" t="s">
        <v>159</v>
      </c>
      <c r="C121" s="48">
        <v>1460</v>
      </c>
      <c r="D121" s="48" t="s">
        <v>616</v>
      </c>
    </row>
    <row r="122" spans="1:4">
      <c r="A122" s="48" t="s">
        <v>154</v>
      </c>
      <c r="B122" s="48" t="s">
        <v>159</v>
      </c>
      <c r="C122" s="48">
        <v>2020</v>
      </c>
      <c r="D122" s="48" t="s">
        <v>616</v>
      </c>
    </row>
    <row r="123" spans="1:4">
      <c r="A123" s="48" t="s">
        <v>154</v>
      </c>
      <c r="B123" s="48" t="s">
        <v>159</v>
      </c>
      <c r="C123" s="48">
        <v>7000</v>
      </c>
      <c r="D123" s="48" t="s">
        <v>245</v>
      </c>
    </row>
    <row r="124" spans="1:4">
      <c r="A124" s="48" t="s">
        <v>154</v>
      </c>
      <c r="B124" s="48" t="s">
        <v>159</v>
      </c>
      <c r="C124" s="48">
        <v>2930</v>
      </c>
      <c r="D124" s="48" t="s">
        <v>253</v>
      </c>
    </row>
    <row r="125" spans="1:4">
      <c r="A125" s="48" t="s">
        <v>154</v>
      </c>
      <c r="B125" s="48" t="s">
        <v>159</v>
      </c>
      <c r="C125" s="48">
        <v>3450</v>
      </c>
      <c r="D125" s="48" t="s">
        <v>253</v>
      </c>
    </row>
    <row r="126" spans="1:4">
      <c r="A126" s="48" t="s">
        <v>154</v>
      </c>
      <c r="B126" s="48" t="s">
        <v>18</v>
      </c>
      <c r="C126" s="48">
        <v>73000</v>
      </c>
      <c r="D126" s="48" t="s">
        <v>562</v>
      </c>
    </row>
    <row r="127" spans="1:4">
      <c r="A127" s="48" t="s">
        <v>154</v>
      </c>
      <c r="B127" s="48" t="s">
        <v>18</v>
      </c>
      <c r="C127" s="48">
        <v>55900</v>
      </c>
      <c r="D127" s="48" t="s">
        <v>561</v>
      </c>
    </row>
    <row r="128" spans="1:4">
      <c r="A128" s="48" t="s">
        <v>154</v>
      </c>
      <c r="B128" s="48" t="s">
        <v>18</v>
      </c>
      <c r="C128" s="48">
        <v>56000</v>
      </c>
      <c r="D128" s="48" t="s">
        <v>245</v>
      </c>
    </row>
    <row r="129" spans="1:4">
      <c r="A129" s="48" t="s">
        <v>155</v>
      </c>
      <c r="B129" s="48" t="s">
        <v>6</v>
      </c>
      <c r="C129" s="48">
        <v>31300</v>
      </c>
      <c r="D129" s="48" t="s">
        <v>175</v>
      </c>
    </row>
    <row r="130" spans="1:4">
      <c r="A130" s="48" t="s">
        <v>155</v>
      </c>
      <c r="B130" s="48" t="s">
        <v>6</v>
      </c>
      <c r="C130" s="48">
        <v>6885</v>
      </c>
      <c r="D130" s="48" t="s">
        <v>562</v>
      </c>
    </row>
    <row r="131" spans="1:4">
      <c r="A131" s="48" t="s">
        <v>155</v>
      </c>
      <c r="B131" s="48" t="s">
        <v>6</v>
      </c>
      <c r="C131" s="48">
        <v>15390</v>
      </c>
      <c r="D131" s="48" t="s">
        <v>561</v>
      </c>
    </row>
    <row r="132" spans="1:4">
      <c r="A132" s="48" t="s">
        <v>155</v>
      </c>
      <c r="B132" s="48" t="s">
        <v>6</v>
      </c>
      <c r="C132" s="48">
        <v>15390</v>
      </c>
      <c r="D132" s="48" t="s">
        <v>245</v>
      </c>
    </row>
    <row r="133" spans="1:4">
      <c r="A133" s="48" t="s">
        <v>155</v>
      </c>
      <c r="B133" s="48" t="s">
        <v>20</v>
      </c>
      <c r="C133" s="48">
        <v>6497</v>
      </c>
      <c r="D133" s="48" t="s">
        <v>562</v>
      </c>
    </row>
    <row r="134" spans="1:4">
      <c r="A134" s="48" t="s">
        <v>155</v>
      </c>
      <c r="B134" s="48" t="s">
        <v>20</v>
      </c>
      <c r="C134" s="48">
        <v>6775</v>
      </c>
      <c r="D134" s="48" t="s">
        <v>561</v>
      </c>
    </row>
    <row r="135" spans="1:4">
      <c r="A135" s="48" t="s">
        <v>155</v>
      </c>
      <c r="B135" s="48" t="s">
        <v>20</v>
      </c>
      <c r="C135" s="48">
        <v>10080</v>
      </c>
      <c r="D135" s="48" t="s">
        <v>562</v>
      </c>
    </row>
    <row r="136" spans="1:4">
      <c r="A136" s="48" t="s">
        <v>155</v>
      </c>
      <c r="B136" s="48" t="s">
        <v>20</v>
      </c>
      <c r="C136" s="48">
        <v>10512</v>
      </c>
      <c r="D136" s="48" t="s">
        <v>561</v>
      </c>
    </row>
    <row r="137" spans="1:4">
      <c r="A137" s="48" t="s">
        <v>155</v>
      </c>
      <c r="B137" s="48" t="s">
        <v>20</v>
      </c>
      <c r="C137" s="48">
        <v>4847</v>
      </c>
      <c r="D137" s="48" t="s">
        <v>245</v>
      </c>
    </row>
    <row r="138" spans="1:4">
      <c r="A138" s="48" t="s">
        <v>155</v>
      </c>
      <c r="B138" s="48" t="s">
        <v>20</v>
      </c>
      <c r="C138" s="48">
        <v>7520</v>
      </c>
      <c r="D138" s="48" t="s">
        <v>245</v>
      </c>
    </row>
    <row r="139" spans="1:4">
      <c r="A139" s="48" t="s">
        <v>155</v>
      </c>
      <c r="B139" s="48" t="s">
        <v>10</v>
      </c>
      <c r="C139" s="48">
        <v>7000</v>
      </c>
      <c r="D139" s="48" t="s">
        <v>552</v>
      </c>
    </row>
    <row r="140" spans="1:4">
      <c r="A140" s="48" t="s">
        <v>155</v>
      </c>
      <c r="B140" s="48" t="s">
        <v>10</v>
      </c>
      <c r="C140" s="48">
        <v>4900</v>
      </c>
      <c r="D140" s="48" t="s">
        <v>562</v>
      </c>
    </row>
    <row r="141" spans="1:4">
      <c r="A141" s="48" t="s">
        <v>155</v>
      </c>
      <c r="B141" s="48" t="s">
        <v>10</v>
      </c>
      <c r="C141" s="48">
        <v>7530</v>
      </c>
      <c r="D141" s="48" t="s">
        <v>561</v>
      </c>
    </row>
    <row r="142" spans="1:4">
      <c r="A142" s="48" t="s">
        <v>155</v>
      </c>
      <c r="B142" s="48" t="s">
        <v>10</v>
      </c>
      <c r="C142" s="48">
        <v>7000</v>
      </c>
      <c r="D142" s="48" t="s">
        <v>245</v>
      </c>
    </row>
    <row r="143" spans="1:4">
      <c r="A143" s="48" t="s">
        <v>155</v>
      </c>
      <c r="B143" s="48" t="s">
        <v>12</v>
      </c>
      <c r="C143" s="48">
        <v>2</v>
      </c>
      <c r="D143" s="48" t="s">
        <v>164</v>
      </c>
    </row>
    <row r="144" spans="1:4">
      <c r="A144" s="48" t="s">
        <v>155</v>
      </c>
      <c r="B144" s="48" t="s">
        <v>12</v>
      </c>
      <c r="C144" s="48">
        <v>4</v>
      </c>
      <c r="D144" s="48" t="s">
        <v>164</v>
      </c>
    </row>
    <row r="145" spans="1:4">
      <c r="A145" s="48" t="s">
        <v>155</v>
      </c>
      <c r="B145" s="48" t="s">
        <v>12</v>
      </c>
      <c r="C145" s="48">
        <v>9</v>
      </c>
      <c r="D145" s="48" t="s">
        <v>164</v>
      </c>
    </row>
    <row r="146" spans="1:4">
      <c r="A146" s="48" t="s">
        <v>155</v>
      </c>
      <c r="B146" s="48" t="s">
        <v>12</v>
      </c>
      <c r="C146" s="48">
        <v>9</v>
      </c>
      <c r="D146" s="48" t="s">
        <v>562</v>
      </c>
    </row>
    <row r="147" spans="1:4">
      <c r="A147" s="48" t="s">
        <v>155</v>
      </c>
      <c r="B147" s="48" t="s">
        <v>160</v>
      </c>
      <c r="C147" s="48">
        <v>50000</v>
      </c>
      <c r="D147" s="48" t="s">
        <v>616</v>
      </c>
    </row>
    <row r="148" spans="1:4">
      <c r="A148" s="48" t="s">
        <v>155</v>
      </c>
      <c r="B148" s="48" t="s">
        <v>160</v>
      </c>
      <c r="C148" s="48">
        <v>70000</v>
      </c>
      <c r="D148" s="48" t="s">
        <v>245</v>
      </c>
    </row>
    <row r="149" spans="1:4">
      <c r="A149" s="48" t="s">
        <v>155</v>
      </c>
      <c r="B149" s="48" t="s">
        <v>160</v>
      </c>
      <c r="C149" s="48">
        <v>66700</v>
      </c>
      <c r="D149" s="48" t="s">
        <v>617</v>
      </c>
    </row>
    <row r="150" spans="1:4">
      <c r="A150" s="48" t="s">
        <v>155</v>
      </c>
      <c r="B150" s="48" t="s">
        <v>160</v>
      </c>
      <c r="C150" s="48">
        <v>53400</v>
      </c>
      <c r="D150" s="48" t="s">
        <v>253</v>
      </c>
    </row>
    <row r="151" spans="1:4">
      <c r="A151" s="48" t="s">
        <v>155</v>
      </c>
      <c r="B151" s="48" t="s">
        <v>13</v>
      </c>
      <c r="C151" s="48">
        <v>7</v>
      </c>
      <c r="D151" s="48" t="s">
        <v>164</v>
      </c>
    </row>
    <row r="152" spans="1:4">
      <c r="A152" s="48" t="s">
        <v>155</v>
      </c>
      <c r="B152" s="48" t="s">
        <v>13</v>
      </c>
      <c r="C152" s="48">
        <v>13</v>
      </c>
      <c r="D152" s="48" t="s">
        <v>164</v>
      </c>
    </row>
    <row r="153" spans="1:4">
      <c r="A153" s="48" t="s">
        <v>155</v>
      </c>
      <c r="B153" s="48" t="s">
        <v>13</v>
      </c>
      <c r="C153" s="48">
        <v>28</v>
      </c>
      <c r="D153" s="48" t="s">
        <v>164</v>
      </c>
    </row>
    <row r="154" spans="1:4">
      <c r="A154" s="48" t="s">
        <v>155</v>
      </c>
      <c r="B154" s="48" t="s">
        <v>13</v>
      </c>
      <c r="C154" s="48">
        <v>15</v>
      </c>
      <c r="D154" s="48" t="s">
        <v>562</v>
      </c>
    </row>
    <row r="155" spans="1:4">
      <c r="A155" s="48" t="s">
        <v>155</v>
      </c>
      <c r="B155" s="48" t="s">
        <v>17</v>
      </c>
      <c r="C155" s="48">
        <v>17</v>
      </c>
      <c r="D155" s="48" t="s">
        <v>164</v>
      </c>
    </row>
    <row r="156" spans="1:4">
      <c r="A156" s="48" t="s">
        <v>155</v>
      </c>
      <c r="B156" s="48" t="s">
        <v>17</v>
      </c>
      <c r="C156" s="48">
        <v>41</v>
      </c>
      <c r="D156" s="48" t="s">
        <v>164</v>
      </c>
    </row>
    <row r="157" spans="1:4">
      <c r="A157" s="48" t="s">
        <v>155</v>
      </c>
      <c r="B157" s="48" t="s">
        <v>17</v>
      </c>
      <c r="C157" s="48">
        <v>161</v>
      </c>
      <c r="D157" s="48" t="s">
        <v>164</v>
      </c>
    </row>
    <row r="158" spans="1:4">
      <c r="A158" s="48" t="s">
        <v>155</v>
      </c>
      <c r="B158" s="48" t="s">
        <v>17</v>
      </c>
      <c r="C158" s="48">
        <v>20</v>
      </c>
      <c r="D158" s="48" t="s">
        <v>562</v>
      </c>
    </row>
    <row r="159" spans="1:4">
      <c r="A159" s="48" t="s">
        <v>155</v>
      </c>
      <c r="B159" s="48" t="s">
        <v>18</v>
      </c>
      <c r="C159" s="48">
        <v>73000</v>
      </c>
      <c r="D159" s="48" t="s">
        <v>562</v>
      </c>
    </row>
    <row r="160" spans="1:4">
      <c r="A160" s="48" t="s">
        <v>155</v>
      </c>
      <c r="B160" s="48" t="s">
        <v>18</v>
      </c>
      <c r="C160" s="48">
        <v>55900</v>
      </c>
      <c r="D160" s="48" t="s">
        <v>561</v>
      </c>
    </row>
    <row r="161" spans="1:4">
      <c r="A161" s="48" t="s">
        <v>155</v>
      </c>
      <c r="B161" s="48" t="s">
        <v>18</v>
      </c>
      <c r="C161" s="48">
        <v>56000</v>
      </c>
      <c r="D161" s="48" t="s">
        <v>245</v>
      </c>
    </row>
    <row r="162" spans="1:4">
      <c r="A162" s="48" t="s">
        <v>156</v>
      </c>
      <c r="B162" s="48" t="s">
        <v>6</v>
      </c>
      <c r="C162" s="48">
        <v>31300</v>
      </c>
      <c r="D162" s="48" t="s">
        <v>175</v>
      </c>
    </row>
    <row r="163" spans="1:4">
      <c r="A163" s="48" t="s">
        <v>156</v>
      </c>
      <c r="B163" s="48" t="s">
        <v>6</v>
      </c>
      <c r="C163" s="48">
        <v>6885</v>
      </c>
      <c r="D163" s="48" t="s">
        <v>562</v>
      </c>
    </row>
    <row r="164" spans="1:4">
      <c r="A164" s="48" t="s">
        <v>156</v>
      </c>
      <c r="B164" s="48" t="s">
        <v>6</v>
      </c>
      <c r="C164" s="48">
        <v>15390</v>
      </c>
      <c r="D164" s="48" t="s">
        <v>561</v>
      </c>
    </row>
    <row r="165" spans="1:4">
      <c r="A165" s="48" t="s">
        <v>156</v>
      </c>
      <c r="B165" s="48" t="s">
        <v>6</v>
      </c>
      <c r="C165" s="48">
        <v>15390</v>
      </c>
      <c r="D165" s="48" t="s">
        <v>245</v>
      </c>
    </row>
    <row r="166" spans="1:4">
      <c r="A166" s="48" t="s">
        <v>156</v>
      </c>
      <c r="B166" s="48" t="s">
        <v>7</v>
      </c>
      <c r="C166" s="48">
        <v>17</v>
      </c>
      <c r="D166" s="48" t="s">
        <v>164</v>
      </c>
    </row>
    <row r="167" spans="1:4">
      <c r="A167" s="48" t="s">
        <v>156</v>
      </c>
      <c r="B167" s="48" t="s">
        <v>7</v>
      </c>
      <c r="C167" s="48">
        <v>62</v>
      </c>
      <c r="D167" s="48" t="s">
        <v>164</v>
      </c>
    </row>
    <row r="168" spans="1:4">
      <c r="A168" s="48" t="s">
        <v>156</v>
      </c>
      <c r="B168" s="48" t="s">
        <v>7</v>
      </c>
      <c r="C168" s="48">
        <v>138</v>
      </c>
      <c r="D168" s="48" t="s">
        <v>164</v>
      </c>
    </row>
    <row r="169" spans="1:4">
      <c r="A169" s="48" t="s">
        <v>156</v>
      </c>
      <c r="B169" s="48" t="s">
        <v>7</v>
      </c>
      <c r="C169" s="48">
        <v>29</v>
      </c>
      <c r="D169" s="48" t="s">
        <v>562</v>
      </c>
    </row>
    <row r="170" spans="1:4">
      <c r="A170" s="48" t="s">
        <v>156</v>
      </c>
      <c r="B170" s="48" t="s">
        <v>20</v>
      </c>
      <c r="C170" s="48">
        <v>6497</v>
      </c>
      <c r="D170" s="48" t="s">
        <v>562</v>
      </c>
    </row>
    <row r="171" spans="1:4">
      <c r="A171" s="48" t="s">
        <v>156</v>
      </c>
      <c r="B171" s="48" t="s">
        <v>20</v>
      </c>
      <c r="C171" s="48">
        <v>6775</v>
      </c>
      <c r="D171" s="48" t="s">
        <v>561</v>
      </c>
    </row>
    <row r="172" spans="1:4">
      <c r="A172" s="48" t="s">
        <v>156</v>
      </c>
      <c r="B172" s="48" t="s">
        <v>20</v>
      </c>
      <c r="C172" s="48">
        <v>10080</v>
      </c>
      <c r="D172" s="48" t="s">
        <v>562</v>
      </c>
    </row>
    <row r="173" spans="1:4">
      <c r="A173" s="48" t="s">
        <v>156</v>
      </c>
      <c r="B173" s="48" t="s">
        <v>20</v>
      </c>
      <c r="C173" s="48">
        <v>10512</v>
      </c>
      <c r="D173" s="48" t="s">
        <v>561</v>
      </c>
    </row>
    <row r="174" spans="1:4">
      <c r="A174" s="48" t="s">
        <v>156</v>
      </c>
      <c r="B174" s="48" t="s">
        <v>20</v>
      </c>
      <c r="C174" s="48">
        <v>4847</v>
      </c>
      <c r="D174" s="48" t="s">
        <v>245</v>
      </c>
    </row>
    <row r="175" spans="1:4">
      <c r="A175" s="48" t="s">
        <v>156</v>
      </c>
      <c r="B175" s="48" t="s">
        <v>20</v>
      </c>
      <c r="C175" s="48">
        <v>7520</v>
      </c>
      <c r="D175" s="48" t="s">
        <v>245</v>
      </c>
    </row>
    <row r="176" spans="1:4">
      <c r="A176" s="48" t="s">
        <v>156</v>
      </c>
      <c r="B176" s="48" t="s">
        <v>10</v>
      </c>
      <c r="C176" s="48">
        <v>7000</v>
      </c>
      <c r="D176" s="48" t="s">
        <v>552</v>
      </c>
    </row>
    <row r="177" spans="1:4">
      <c r="A177" s="48" t="s">
        <v>156</v>
      </c>
      <c r="B177" s="48" t="s">
        <v>10</v>
      </c>
      <c r="C177" s="48">
        <v>4900</v>
      </c>
      <c r="D177" s="48" t="s">
        <v>562</v>
      </c>
    </row>
    <row r="178" spans="1:4">
      <c r="A178" s="48" t="s">
        <v>156</v>
      </c>
      <c r="B178" s="48" t="s">
        <v>10</v>
      </c>
      <c r="C178" s="48">
        <v>7530</v>
      </c>
      <c r="D178" s="48" t="s">
        <v>561</v>
      </c>
    </row>
    <row r="179" spans="1:4">
      <c r="A179" s="48" t="s">
        <v>156</v>
      </c>
      <c r="B179" s="48" t="s">
        <v>10</v>
      </c>
      <c r="C179" s="48">
        <v>7000</v>
      </c>
      <c r="D179" s="48" t="s">
        <v>245</v>
      </c>
    </row>
    <row r="180" spans="1:4">
      <c r="A180" s="48" t="s">
        <v>156</v>
      </c>
      <c r="B180" s="48" t="s">
        <v>160</v>
      </c>
      <c r="C180" s="48">
        <v>50000</v>
      </c>
      <c r="D180" s="48" t="s">
        <v>616</v>
      </c>
    </row>
    <row r="181" spans="1:4">
      <c r="A181" s="48" t="s">
        <v>156</v>
      </c>
      <c r="B181" s="48" t="s">
        <v>160</v>
      </c>
      <c r="C181" s="48">
        <v>70000</v>
      </c>
      <c r="D181" s="48" t="s">
        <v>245</v>
      </c>
    </row>
    <row r="182" spans="1:4">
      <c r="A182" s="48" t="s">
        <v>156</v>
      </c>
      <c r="B182" s="48" t="s">
        <v>160</v>
      </c>
      <c r="C182" s="48">
        <v>66700</v>
      </c>
      <c r="D182" s="48" t="s">
        <v>617</v>
      </c>
    </row>
    <row r="183" spans="1:4">
      <c r="A183" s="48" t="s">
        <v>156</v>
      </c>
      <c r="B183" s="48" t="s">
        <v>160</v>
      </c>
      <c r="C183" s="48">
        <v>53400</v>
      </c>
      <c r="D183" s="48" t="s">
        <v>253</v>
      </c>
    </row>
    <row r="184" spans="1:4">
      <c r="A184" s="48" t="s">
        <v>156</v>
      </c>
      <c r="B184" s="48" t="s">
        <v>18</v>
      </c>
      <c r="C184" s="48">
        <v>73000</v>
      </c>
      <c r="D184" s="48" t="s">
        <v>562</v>
      </c>
    </row>
    <row r="185" spans="1:4">
      <c r="A185" s="48" t="s">
        <v>156</v>
      </c>
      <c r="B185" s="48" t="s">
        <v>18</v>
      </c>
      <c r="C185" s="48">
        <v>55900</v>
      </c>
      <c r="D185" s="48" t="s">
        <v>561</v>
      </c>
    </row>
    <row r="186" spans="1:4">
      <c r="A186" s="48" t="s">
        <v>156</v>
      </c>
      <c r="B186" s="48" t="s">
        <v>18</v>
      </c>
      <c r="C186" s="48">
        <v>56000</v>
      </c>
      <c r="D186" s="48" t="s">
        <v>245</v>
      </c>
    </row>
    <row r="187" spans="1:4">
      <c r="A187" s="48" t="s">
        <v>156</v>
      </c>
      <c r="B187" s="48" t="s">
        <v>19</v>
      </c>
      <c r="C187" s="48">
        <v>19</v>
      </c>
      <c r="D187" s="48" t="s">
        <v>164</v>
      </c>
    </row>
    <row r="188" spans="1:4">
      <c r="A188" s="48" t="s">
        <v>156</v>
      </c>
      <c r="B188" s="48" t="s">
        <v>19</v>
      </c>
      <c r="C188" s="48">
        <v>70</v>
      </c>
      <c r="D188" s="48" t="s">
        <v>164</v>
      </c>
    </row>
    <row r="189" spans="1:4">
      <c r="A189" s="48" t="s">
        <v>156</v>
      </c>
      <c r="B189" s="48" t="s">
        <v>19</v>
      </c>
      <c r="C189" s="48">
        <v>156</v>
      </c>
      <c r="D189" s="48" t="s">
        <v>164</v>
      </c>
    </row>
    <row r="190" spans="1:4">
      <c r="A190" s="48" t="s">
        <v>156</v>
      </c>
      <c r="B190" s="48" t="s">
        <v>19</v>
      </c>
      <c r="C190" s="48">
        <v>31</v>
      </c>
      <c r="D190" s="48" t="s">
        <v>562</v>
      </c>
    </row>
    <row r="191" spans="1:4">
      <c r="A191" s="48" t="s">
        <v>157</v>
      </c>
      <c r="B191" s="48" t="s">
        <v>6</v>
      </c>
      <c r="C191" s="48">
        <v>31300</v>
      </c>
      <c r="D191" s="48" t="s">
        <v>175</v>
      </c>
    </row>
    <row r="192" spans="1:4">
      <c r="A192" s="48" t="s">
        <v>157</v>
      </c>
      <c r="B192" s="48" t="s">
        <v>6</v>
      </c>
      <c r="C192" s="48">
        <v>6885</v>
      </c>
      <c r="D192" s="48" t="s">
        <v>562</v>
      </c>
    </row>
    <row r="193" spans="1:4">
      <c r="A193" s="48" t="s">
        <v>157</v>
      </c>
      <c r="B193" s="48" t="s">
        <v>6</v>
      </c>
      <c r="C193" s="48">
        <v>15390</v>
      </c>
      <c r="D193" s="48" t="s">
        <v>561</v>
      </c>
    </row>
    <row r="194" spans="1:4">
      <c r="A194" s="48" t="s">
        <v>157</v>
      </c>
      <c r="B194" s="48" t="s">
        <v>6</v>
      </c>
      <c r="C194" s="48">
        <v>15390</v>
      </c>
      <c r="D194" s="48" t="s">
        <v>245</v>
      </c>
    </row>
    <row r="195" spans="1:4">
      <c r="A195" s="48" t="s">
        <v>157</v>
      </c>
      <c r="B195" s="48" t="s">
        <v>20</v>
      </c>
      <c r="C195" s="48">
        <v>6497</v>
      </c>
      <c r="D195" s="48" t="s">
        <v>562</v>
      </c>
    </row>
    <row r="196" spans="1:4">
      <c r="A196" s="48" t="s">
        <v>157</v>
      </c>
      <c r="B196" s="48" t="s">
        <v>20</v>
      </c>
      <c r="C196" s="48">
        <v>6775</v>
      </c>
      <c r="D196" s="48" t="s">
        <v>561</v>
      </c>
    </row>
    <row r="197" spans="1:4">
      <c r="A197" s="48" t="s">
        <v>157</v>
      </c>
      <c r="B197" s="48" t="s">
        <v>20</v>
      </c>
      <c r="C197" s="48">
        <v>10080</v>
      </c>
      <c r="D197" s="48" t="s">
        <v>562</v>
      </c>
    </row>
    <row r="198" spans="1:4">
      <c r="A198" s="48" t="s">
        <v>157</v>
      </c>
      <c r="B198" s="48" t="s">
        <v>20</v>
      </c>
      <c r="C198" s="48">
        <v>10512</v>
      </c>
      <c r="D198" s="48" t="s">
        <v>561</v>
      </c>
    </row>
    <row r="199" spans="1:4">
      <c r="A199" s="48" t="s">
        <v>157</v>
      </c>
      <c r="B199" s="48" t="s">
        <v>20</v>
      </c>
      <c r="C199" s="48">
        <v>4847</v>
      </c>
      <c r="D199" s="48" t="s">
        <v>245</v>
      </c>
    </row>
    <row r="200" spans="1:4">
      <c r="A200" s="48" t="s">
        <v>157</v>
      </c>
      <c r="B200" s="48" t="s">
        <v>20</v>
      </c>
      <c r="C200" s="48">
        <v>7520</v>
      </c>
      <c r="D200" s="48" t="s">
        <v>245</v>
      </c>
    </row>
    <row r="201" spans="1:4">
      <c r="A201" s="48" t="s">
        <v>157</v>
      </c>
      <c r="B201" s="48" t="s">
        <v>10</v>
      </c>
      <c r="C201" s="48">
        <v>7000</v>
      </c>
      <c r="D201" s="48" t="s">
        <v>552</v>
      </c>
    </row>
    <row r="202" spans="1:4">
      <c r="A202" s="48" t="s">
        <v>157</v>
      </c>
      <c r="B202" s="48" t="s">
        <v>10</v>
      </c>
      <c r="C202" s="48">
        <v>4900</v>
      </c>
      <c r="D202" s="48" t="s">
        <v>562</v>
      </c>
    </row>
    <row r="203" spans="1:4">
      <c r="A203" s="48" t="s">
        <v>157</v>
      </c>
      <c r="B203" s="48" t="s">
        <v>10</v>
      </c>
      <c r="C203" s="48">
        <v>7530</v>
      </c>
      <c r="D203" s="48" t="s">
        <v>561</v>
      </c>
    </row>
    <row r="204" spans="1:4">
      <c r="A204" s="48" t="s">
        <v>157</v>
      </c>
      <c r="B204" s="48" t="s">
        <v>10</v>
      </c>
      <c r="C204" s="48">
        <v>7000</v>
      </c>
      <c r="D204" s="48" t="s">
        <v>245</v>
      </c>
    </row>
    <row r="205" spans="1:4">
      <c r="A205" s="48" t="s">
        <v>157</v>
      </c>
      <c r="B205" s="48" t="s">
        <v>160</v>
      </c>
      <c r="C205" s="48">
        <v>50000</v>
      </c>
      <c r="D205" s="48" t="s">
        <v>616</v>
      </c>
    </row>
    <row r="206" spans="1:4">
      <c r="A206" s="48" t="s">
        <v>157</v>
      </c>
      <c r="B206" s="48" t="s">
        <v>160</v>
      </c>
      <c r="C206" s="48">
        <v>70000</v>
      </c>
      <c r="D206" s="48" t="s">
        <v>245</v>
      </c>
    </row>
    <row r="207" spans="1:4">
      <c r="A207" s="48" t="s">
        <v>157</v>
      </c>
      <c r="B207" s="48" t="s">
        <v>160</v>
      </c>
      <c r="C207" s="48">
        <v>66700</v>
      </c>
      <c r="D207" s="48" t="s">
        <v>617</v>
      </c>
    </row>
    <row r="208" spans="1:4">
      <c r="A208" s="48" t="s">
        <v>157</v>
      </c>
      <c r="B208" s="48" t="s">
        <v>160</v>
      </c>
      <c r="C208" s="48">
        <v>53400</v>
      </c>
      <c r="D208" s="48" t="s">
        <v>253</v>
      </c>
    </row>
    <row r="209" spans="1:4">
      <c r="A209" s="48" t="s">
        <v>157</v>
      </c>
      <c r="B209" s="48" t="s">
        <v>159</v>
      </c>
      <c r="C209" s="48">
        <v>58</v>
      </c>
      <c r="D209" s="48" t="s">
        <v>616</v>
      </c>
    </row>
    <row r="210" spans="1:4">
      <c r="A210" s="48" t="s">
        <v>157</v>
      </c>
      <c r="B210" s="48" t="s">
        <v>18</v>
      </c>
      <c r="C210" s="48">
        <v>73000</v>
      </c>
      <c r="D210" s="48" t="s">
        <v>562</v>
      </c>
    </row>
    <row r="211" spans="1:4">
      <c r="A211" s="48" t="s">
        <v>157</v>
      </c>
      <c r="B211" s="48" t="s">
        <v>18</v>
      </c>
      <c r="C211" s="48">
        <v>55900</v>
      </c>
      <c r="D211" s="48" t="s">
        <v>561</v>
      </c>
    </row>
    <row r="212" spans="1:4">
      <c r="A212" s="48" t="s">
        <v>157</v>
      </c>
      <c r="B212" s="48" t="s">
        <v>18</v>
      </c>
      <c r="C212" s="48">
        <v>56000</v>
      </c>
      <c r="D212" s="48" t="s">
        <v>245</v>
      </c>
    </row>
    <row r="213" spans="1:4">
      <c r="A213" s="48" t="s">
        <v>158</v>
      </c>
      <c r="B213" s="48" t="s">
        <v>5</v>
      </c>
      <c r="C213" s="48">
        <v>13</v>
      </c>
      <c r="D213" s="48" t="s">
        <v>192</v>
      </c>
    </row>
    <row r="214" spans="1:4">
      <c r="A214" s="48" t="s">
        <v>158</v>
      </c>
      <c r="B214" s="48" t="s">
        <v>5</v>
      </c>
      <c r="C214" s="48">
        <v>16</v>
      </c>
      <c r="D214" s="48" t="s">
        <v>192</v>
      </c>
    </row>
    <row r="215" spans="1:4">
      <c r="A215" s="48" t="s">
        <v>158</v>
      </c>
      <c r="B215" s="48" t="s">
        <v>6</v>
      </c>
      <c r="C215" s="48">
        <v>0</v>
      </c>
      <c r="D215" s="48" t="s">
        <v>192</v>
      </c>
    </row>
    <row r="216" spans="1:4">
      <c r="A216" s="48" t="s">
        <v>158</v>
      </c>
      <c r="B216" s="48" t="s">
        <v>6</v>
      </c>
      <c r="C216" s="48">
        <v>11000</v>
      </c>
      <c r="D216" s="48" t="s">
        <v>192</v>
      </c>
    </row>
    <row r="217" spans="1:4">
      <c r="A217" s="48" t="s">
        <v>158</v>
      </c>
      <c r="B217" s="48" t="s">
        <v>20</v>
      </c>
      <c r="C217" s="48">
        <v>250000</v>
      </c>
      <c r="D217" s="48" t="s">
        <v>192</v>
      </c>
    </row>
    <row r="218" spans="1:4">
      <c r="A218" s="48" t="s">
        <v>158</v>
      </c>
      <c r="B218" s="48" t="s">
        <v>20</v>
      </c>
      <c r="C218" s="48">
        <v>72000</v>
      </c>
      <c r="D218" s="48" t="s">
        <v>192</v>
      </c>
    </row>
    <row r="219" spans="1:4">
      <c r="A219" s="48" t="s">
        <v>158</v>
      </c>
      <c r="B219" s="48" t="s">
        <v>10</v>
      </c>
      <c r="C219" s="48">
        <v>3200</v>
      </c>
      <c r="D219" s="48" t="s">
        <v>192</v>
      </c>
    </row>
    <row r="220" spans="1:4">
      <c r="A220" s="48" t="s">
        <v>158</v>
      </c>
      <c r="B220" s="48" t="s">
        <v>10</v>
      </c>
      <c r="C220" s="48">
        <v>1400</v>
      </c>
      <c r="D220" s="48" t="s">
        <v>192</v>
      </c>
    </row>
    <row r="221" spans="1:4">
      <c r="A221" s="48" t="s">
        <v>158</v>
      </c>
      <c r="B221" s="48" t="s">
        <v>160</v>
      </c>
      <c r="C221" s="48">
        <v>130000</v>
      </c>
      <c r="D221" s="48" t="s">
        <v>192</v>
      </c>
    </row>
    <row r="222" spans="1:4">
      <c r="A222" s="48" t="s">
        <v>158</v>
      </c>
      <c r="B222" s="48" t="s">
        <v>160</v>
      </c>
      <c r="C222" s="48">
        <v>110000</v>
      </c>
      <c r="D222" s="48" t="s">
        <v>192</v>
      </c>
    </row>
    <row r="223" spans="1:4">
      <c r="A223" s="48" t="s">
        <v>158</v>
      </c>
      <c r="B223" s="48" t="s">
        <v>14</v>
      </c>
      <c r="C223" s="48">
        <v>2000</v>
      </c>
      <c r="D223" s="48" t="s">
        <v>192</v>
      </c>
    </row>
    <row r="224" spans="1:4">
      <c r="A224" s="48" t="s">
        <v>158</v>
      </c>
      <c r="B224" s="48" t="s">
        <v>14</v>
      </c>
      <c r="C224" s="48">
        <v>5700</v>
      </c>
      <c r="D224" s="48" t="s">
        <v>192</v>
      </c>
    </row>
    <row r="225" spans="1:4">
      <c r="A225" s="48" t="s">
        <v>158</v>
      </c>
      <c r="B225" s="48" t="s">
        <v>563</v>
      </c>
      <c r="C225" s="48">
        <v>940</v>
      </c>
      <c r="D225" s="48" t="s">
        <v>192</v>
      </c>
    </row>
    <row r="226" spans="1:4">
      <c r="A226" s="48" t="s">
        <v>158</v>
      </c>
      <c r="B226" s="48" t="s">
        <v>563</v>
      </c>
      <c r="C226" s="48">
        <v>1900</v>
      </c>
      <c r="D226" s="48" t="s">
        <v>192</v>
      </c>
    </row>
    <row r="227" spans="1:4">
      <c r="A227" s="48" t="s">
        <v>158</v>
      </c>
      <c r="B227" s="48" t="s">
        <v>18</v>
      </c>
      <c r="C227" s="48">
        <v>240000</v>
      </c>
      <c r="D227" s="48" t="s">
        <v>192</v>
      </c>
    </row>
    <row r="228" spans="1:4">
      <c r="A228" s="48" t="s">
        <v>158</v>
      </c>
      <c r="B228" s="48" t="s">
        <v>18</v>
      </c>
      <c r="C228" s="48">
        <v>400000</v>
      </c>
      <c r="D228" s="48" t="s">
        <v>192</v>
      </c>
    </row>
    <row r="229" spans="1:4">
      <c r="A229" s="48" t="s">
        <v>265</v>
      </c>
      <c r="B229" s="48" t="s">
        <v>6</v>
      </c>
      <c r="C229" s="48">
        <v>624</v>
      </c>
      <c r="D229" s="48" t="s">
        <v>530</v>
      </c>
    </row>
    <row r="230" spans="1:4">
      <c r="A230" s="48" t="s">
        <v>265</v>
      </c>
      <c r="B230" s="48" t="s">
        <v>6</v>
      </c>
      <c r="C230" s="48">
        <v>419</v>
      </c>
      <c r="D230" s="48" t="s">
        <v>564</v>
      </c>
    </row>
    <row r="231" spans="1:4">
      <c r="A231" s="48" t="s">
        <v>265</v>
      </c>
      <c r="B231" s="48" t="s">
        <v>6</v>
      </c>
      <c r="C231" s="48">
        <v>255</v>
      </c>
      <c r="D231" s="48" t="s">
        <v>565</v>
      </c>
    </row>
    <row r="232" spans="1:4">
      <c r="A232" s="48" t="s">
        <v>265</v>
      </c>
      <c r="B232" s="48" t="s">
        <v>6</v>
      </c>
      <c r="C232" s="48">
        <v>281</v>
      </c>
      <c r="D232" s="48" t="s">
        <v>566</v>
      </c>
    </row>
    <row r="233" spans="1:4">
      <c r="A233" s="48" t="s">
        <v>265</v>
      </c>
      <c r="B233" s="48" t="s">
        <v>20</v>
      </c>
      <c r="C233" s="48">
        <v>18389</v>
      </c>
      <c r="D233" s="48" t="s">
        <v>530</v>
      </c>
    </row>
    <row r="234" spans="1:4">
      <c r="A234" s="48" t="s">
        <v>265</v>
      </c>
      <c r="B234" s="48" t="s">
        <v>20</v>
      </c>
      <c r="C234" s="48">
        <v>28531</v>
      </c>
      <c r="D234" s="48" t="s">
        <v>530</v>
      </c>
    </row>
    <row r="235" spans="1:4">
      <c r="A235" s="48" t="s">
        <v>265</v>
      </c>
      <c r="B235" s="48" t="s">
        <v>20</v>
      </c>
      <c r="C235" s="48">
        <v>16372</v>
      </c>
      <c r="D235" s="48" t="s">
        <v>564</v>
      </c>
    </row>
    <row r="236" spans="1:4">
      <c r="A236" s="48" t="s">
        <v>265</v>
      </c>
      <c r="B236" s="48" t="s">
        <v>20</v>
      </c>
      <c r="C236" s="48">
        <v>25401</v>
      </c>
      <c r="D236" s="48" t="s">
        <v>564</v>
      </c>
    </row>
    <row r="237" spans="1:4">
      <c r="A237" s="48" t="s">
        <v>265</v>
      </c>
      <c r="B237" s="48" t="s">
        <v>20</v>
      </c>
      <c r="C237" s="48">
        <v>7658</v>
      </c>
      <c r="D237" s="48" t="s">
        <v>565</v>
      </c>
    </row>
    <row r="238" spans="1:4">
      <c r="A238" s="48" t="s">
        <v>265</v>
      </c>
      <c r="B238" s="48" t="s">
        <v>20</v>
      </c>
      <c r="C238" s="48">
        <v>11881</v>
      </c>
      <c r="D238" s="48" t="s">
        <v>565</v>
      </c>
    </row>
    <row r="239" spans="1:4">
      <c r="A239" s="48" t="s">
        <v>265</v>
      </c>
      <c r="B239" s="48" t="s">
        <v>20</v>
      </c>
      <c r="C239" s="48">
        <v>4668</v>
      </c>
      <c r="D239" s="48" t="s">
        <v>566</v>
      </c>
    </row>
    <row r="240" spans="1:4">
      <c r="A240" s="48" t="s">
        <v>265</v>
      </c>
      <c r="B240" s="48" t="s">
        <v>20</v>
      </c>
      <c r="C240" s="48">
        <v>6749</v>
      </c>
      <c r="D240" s="48" t="s">
        <v>566</v>
      </c>
    </row>
    <row r="241" spans="1:4">
      <c r="A241" s="48" t="s">
        <v>265</v>
      </c>
      <c r="B241" s="48" t="s">
        <v>20</v>
      </c>
      <c r="C241" s="48">
        <v>11315</v>
      </c>
      <c r="D241" s="48" t="s">
        <v>566</v>
      </c>
    </row>
    <row r="242" spans="1:4">
      <c r="A242" s="48" t="s">
        <v>265</v>
      </c>
      <c r="B242" s="48" t="s">
        <v>20</v>
      </c>
      <c r="C242" s="48">
        <v>16361</v>
      </c>
      <c r="D242" s="48" t="s">
        <v>566</v>
      </c>
    </row>
    <row r="243" spans="1:4">
      <c r="A243" s="48" t="s">
        <v>265</v>
      </c>
      <c r="B243" s="48" t="s">
        <v>20</v>
      </c>
      <c r="C243" s="48">
        <v>10572</v>
      </c>
      <c r="D243" s="48" t="s">
        <v>567</v>
      </c>
    </row>
    <row r="244" spans="1:4">
      <c r="A244" s="48" t="s">
        <v>265</v>
      </c>
      <c r="B244" s="48" t="s">
        <v>20</v>
      </c>
      <c r="C244" s="48">
        <v>16403</v>
      </c>
      <c r="D244" s="48" t="s">
        <v>567</v>
      </c>
    </row>
    <row r="245" spans="1:4">
      <c r="A245" s="48" t="s">
        <v>265</v>
      </c>
      <c r="B245" s="48" t="s">
        <v>10</v>
      </c>
      <c r="C245" s="48">
        <v>454</v>
      </c>
      <c r="D245" s="48" t="s">
        <v>565</v>
      </c>
    </row>
    <row r="246" spans="1:4">
      <c r="A246" s="48" t="s">
        <v>265</v>
      </c>
      <c r="B246" s="48" t="s">
        <v>10</v>
      </c>
      <c r="C246" s="48">
        <v>500</v>
      </c>
      <c r="D246" s="48" t="s">
        <v>566</v>
      </c>
    </row>
    <row r="247" spans="1:4">
      <c r="A247" s="48" t="s">
        <v>265</v>
      </c>
      <c r="B247" s="48" t="s">
        <v>10</v>
      </c>
      <c r="C247" s="48">
        <v>538</v>
      </c>
      <c r="D247" s="48" t="s">
        <v>566</v>
      </c>
    </row>
    <row r="248" spans="1:4">
      <c r="A248" s="48" t="s">
        <v>265</v>
      </c>
      <c r="B248" s="48" t="s">
        <v>10</v>
      </c>
      <c r="C248" s="48">
        <v>471</v>
      </c>
      <c r="D248" s="48" t="s">
        <v>567</v>
      </c>
    </row>
    <row r="249" spans="1:4">
      <c r="A249" s="48" t="s">
        <v>265</v>
      </c>
      <c r="B249" s="48" t="s">
        <v>14</v>
      </c>
      <c r="C249" s="48">
        <v>112</v>
      </c>
      <c r="D249" s="48" t="s">
        <v>565</v>
      </c>
    </row>
    <row r="250" spans="1:4">
      <c r="A250" s="48" t="s">
        <v>265</v>
      </c>
      <c r="B250" s="48" t="s">
        <v>14</v>
      </c>
      <c r="C250" s="48">
        <v>124</v>
      </c>
      <c r="D250" s="48" t="s">
        <v>566</v>
      </c>
    </row>
    <row r="251" spans="1:4">
      <c r="A251" s="48" t="s">
        <v>265</v>
      </c>
      <c r="B251" s="48" t="s">
        <v>14</v>
      </c>
      <c r="C251" s="48">
        <v>199</v>
      </c>
      <c r="D251" s="48" t="s">
        <v>567</v>
      </c>
    </row>
    <row r="252" spans="1:4">
      <c r="A252" s="48" t="s">
        <v>265</v>
      </c>
      <c r="B252" s="48" t="s">
        <v>16</v>
      </c>
      <c r="C252" s="48">
        <v>10</v>
      </c>
      <c r="D252" s="48" t="s">
        <v>565</v>
      </c>
    </row>
    <row r="253" spans="1:4">
      <c r="A253" s="48" t="s">
        <v>265</v>
      </c>
      <c r="B253" s="48" t="s">
        <v>16</v>
      </c>
      <c r="C253" s="48">
        <v>11</v>
      </c>
      <c r="D253" s="48" t="s">
        <v>566</v>
      </c>
    </row>
    <row r="254" spans="1:4">
      <c r="A254" s="48" t="s">
        <v>265</v>
      </c>
      <c r="B254" s="48" t="s">
        <v>16</v>
      </c>
      <c r="C254" s="48">
        <v>8</v>
      </c>
      <c r="D254" s="48" t="s">
        <v>567</v>
      </c>
    </row>
    <row r="255" spans="1:4">
      <c r="A255" s="48" t="s">
        <v>265</v>
      </c>
      <c r="B255" s="48" t="s">
        <v>18</v>
      </c>
      <c r="C255" s="48">
        <v>62200</v>
      </c>
      <c r="D255" s="48" t="s">
        <v>530</v>
      </c>
    </row>
    <row r="256" spans="1:4">
      <c r="A256" s="48" t="s">
        <v>265</v>
      </c>
      <c r="B256" s="48" t="s">
        <v>18</v>
      </c>
      <c r="C256" s="48">
        <v>51340</v>
      </c>
      <c r="D256" s="48" t="s">
        <v>564</v>
      </c>
    </row>
    <row r="257" spans="1:4">
      <c r="A257" s="48" t="s">
        <v>265</v>
      </c>
      <c r="B257" s="48" t="s">
        <v>18</v>
      </c>
      <c r="C257" s="48">
        <v>44425</v>
      </c>
      <c r="D257" s="48" t="s">
        <v>566</v>
      </c>
    </row>
    <row r="258" spans="1:4">
      <c r="A258" s="48" t="s">
        <v>266</v>
      </c>
      <c r="B258" s="48" t="s">
        <v>6</v>
      </c>
      <c r="C258" s="48">
        <v>1300</v>
      </c>
      <c r="D258" s="48" t="s">
        <v>280</v>
      </c>
    </row>
    <row r="259" spans="1:4">
      <c r="A259" s="48" t="s">
        <v>266</v>
      </c>
      <c r="B259" s="48" t="s">
        <v>20</v>
      </c>
      <c r="C259" s="48">
        <v>16397</v>
      </c>
      <c r="D259" s="48" t="s">
        <v>280</v>
      </c>
    </row>
    <row r="260" spans="1:4">
      <c r="A260" s="48" t="s">
        <v>266</v>
      </c>
      <c r="B260" s="48" t="s">
        <v>20</v>
      </c>
      <c r="C260" s="48">
        <v>25440</v>
      </c>
      <c r="D260" s="48" t="s">
        <v>280</v>
      </c>
    </row>
    <row r="261" spans="1:4">
      <c r="A261" s="48" t="s">
        <v>266</v>
      </c>
      <c r="B261" s="48" t="s">
        <v>10</v>
      </c>
      <c r="C261" s="48">
        <v>454</v>
      </c>
      <c r="D261" s="48" t="s">
        <v>565</v>
      </c>
    </row>
    <row r="262" spans="1:4">
      <c r="A262" s="48" t="s">
        <v>266</v>
      </c>
      <c r="B262" s="48" t="s">
        <v>10</v>
      </c>
      <c r="C262" s="48">
        <v>500</v>
      </c>
      <c r="D262" s="48" t="s">
        <v>566</v>
      </c>
    </row>
    <row r="263" spans="1:4">
      <c r="A263" s="48" t="s">
        <v>266</v>
      </c>
      <c r="B263" s="48" t="s">
        <v>10</v>
      </c>
      <c r="C263" s="48">
        <v>538</v>
      </c>
      <c r="D263" s="48" t="s">
        <v>566</v>
      </c>
    </row>
    <row r="264" spans="1:4">
      <c r="A264" s="48" t="s">
        <v>266</v>
      </c>
      <c r="B264" s="48" t="s">
        <v>10</v>
      </c>
      <c r="C264" s="48">
        <v>471</v>
      </c>
      <c r="D264" s="48" t="s">
        <v>567</v>
      </c>
    </row>
    <row r="265" spans="1:4">
      <c r="A265" s="48" t="s">
        <v>266</v>
      </c>
      <c r="B265" s="48" t="s">
        <v>14</v>
      </c>
      <c r="C265" s="48">
        <v>112</v>
      </c>
      <c r="D265" s="48" t="s">
        <v>565</v>
      </c>
    </row>
    <row r="266" spans="1:4">
      <c r="A266" s="48" t="s">
        <v>266</v>
      </c>
      <c r="B266" s="48" t="s">
        <v>14</v>
      </c>
      <c r="C266" s="48">
        <v>124</v>
      </c>
      <c r="D266" s="48" t="s">
        <v>566</v>
      </c>
    </row>
    <row r="267" spans="1:4">
      <c r="A267" s="48" t="s">
        <v>266</v>
      </c>
      <c r="B267" s="48" t="s">
        <v>14</v>
      </c>
      <c r="C267" s="48">
        <v>199</v>
      </c>
      <c r="D267" s="48" t="s">
        <v>567</v>
      </c>
    </row>
    <row r="268" spans="1:4">
      <c r="A268" s="48" t="s">
        <v>266</v>
      </c>
      <c r="B268" s="48" t="s">
        <v>16</v>
      </c>
      <c r="C268" s="48">
        <v>10</v>
      </c>
      <c r="D268" s="48" t="s">
        <v>565</v>
      </c>
    </row>
    <row r="269" spans="1:4">
      <c r="A269" s="48" t="s">
        <v>266</v>
      </c>
      <c r="B269" s="48" t="s">
        <v>16</v>
      </c>
      <c r="C269" s="48">
        <v>11</v>
      </c>
      <c r="D269" s="48" t="s">
        <v>566</v>
      </c>
    </row>
    <row r="270" spans="1:4">
      <c r="A270" s="48" t="s">
        <v>266</v>
      </c>
      <c r="B270" s="48" t="s">
        <v>16</v>
      </c>
      <c r="C270" s="48">
        <v>8</v>
      </c>
      <c r="D270" s="48" t="s">
        <v>567</v>
      </c>
    </row>
    <row r="271" spans="1:4">
      <c r="A271" s="48" t="s">
        <v>266</v>
      </c>
      <c r="B271" s="48" t="s">
        <v>18</v>
      </c>
      <c r="C271" s="48">
        <v>52000</v>
      </c>
      <c r="D271" s="48" t="s">
        <v>280</v>
      </c>
    </row>
    <row r="272" spans="1:4">
      <c r="A272" s="48" t="s">
        <v>568</v>
      </c>
      <c r="B272" s="48" t="s">
        <v>6</v>
      </c>
      <c r="C272" s="48">
        <v>230</v>
      </c>
      <c r="D272" s="48" t="s">
        <v>530</v>
      </c>
    </row>
    <row r="273" spans="1:4">
      <c r="A273" s="48" t="s">
        <v>568</v>
      </c>
      <c r="B273" s="48" t="s">
        <v>6</v>
      </c>
      <c r="C273" s="48">
        <v>204</v>
      </c>
      <c r="D273" s="48" t="s">
        <v>569</v>
      </c>
    </row>
    <row r="274" spans="1:4">
      <c r="A274" s="48" t="s">
        <v>568</v>
      </c>
      <c r="B274" s="48" t="s">
        <v>20</v>
      </c>
      <c r="C274" s="48">
        <v>7350</v>
      </c>
      <c r="D274" s="48" t="s">
        <v>530</v>
      </c>
    </row>
    <row r="275" spans="1:4">
      <c r="A275" s="48" t="s">
        <v>568</v>
      </c>
      <c r="B275" s="48" t="s">
        <v>20</v>
      </c>
      <c r="C275" s="48">
        <v>11403</v>
      </c>
      <c r="D275" s="48" t="s">
        <v>569</v>
      </c>
    </row>
    <row r="276" spans="1:4">
      <c r="A276" s="48" t="s">
        <v>568</v>
      </c>
      <c r="B276" s="48" t="s">
        <v>20</v>
      </c>
      <c r="C276" s="48">
        <v>10080</v>
      </c>
      <c r="D276" s="48" t="s">
        <v>530</v>
      </c>
    </row>
    <row r="277" spans="1:4">
      <c r="A277" s="48" t="s">
        <v>568</v>
      </c>
      <c r="B277" s="48" t="s">
        <v>20</v>
      </c>
      <c r="C277" s="48">
        <v>15640</v>
      </c>
      <c r="D277" s="48" t="s">
        <v>569</v>
      </c>
    </row>
    <row r="278" spans="1:4">
      <c r="A278" s="48" t="s">
        <v>568</v>
      </c>
      <c r="B278" s="48" t="s">
        <v>10</v>
      </c>
      <c r="C278" s="48">
        <v>454</v>
      </c>
      <c r="D278" s="48" t="s">
        <v>565</v>
      </c>
    </row>
    <row r="279" spans="1:4">
      <c r="A279" s="48" t="s">
        <v>568</v>
      </c>
      <c r="B279" s="48" t="s">
        <v>10</v>
      </c>
      <c r="C279" s="48">
        <v>500</v>
      </c>
      <c r="D279" s="48" t="s">
        <v>566</v>
      </c>
    </row>
    <row r="280" spans="1:4">
      <c r="A280" s="48" t="s">
        <v>568</v>
      </c>
      <c r="B280" s="48" t="s">
        <v>10</v>
      </c>
      <c r="C280" s="48">
        <v>538</v>
      </c>
      <c r="D280" s="48" t="s">
        <v>566</v>
      </c>
    </row>
    <row r="281" spans="1:4">
      <c r="A281" s="48" t="s">
        <v>568</v>
      </c>
      <c r="B281" s="48" t="s">
        <v>10</v>
      </c>
      <c r="C281" s="48">
        <v>471</v>
      </c>
      <c r="D281" s="48" t="s">
        <v>567</v>
      </c>
    </row>
    <row r="282" spans="1:4">
      <c r="A282" s="48" t="s">
        <v>568</v>
      </c>
      <c r="B282" s="48" t="s">
        <v>14</v>
      </c>
      <c r="C282" s="48">
        <v>112</v>
      </c>
      <c r="D282" s="48" t="s">
        <v>565</v>
      </c>
    </row>
    <row r="283" spans="1:4">
      <c r="A283" s="48" t="s">
        <v>568</v>
      </c>
      <c r="B283" s="48" t="s">
        <v>14</v>
      </c>
      <c r="C283" s="48">
        <v>124</v>
      </c>
      <c r="D283" s="48" t="s">
        <v>566</v>
      </c>
    </row>
    <row r="284" spans="1:4">
      <c r="A284" s="48" t="s">
        <v>568</v>
      </c>
      <c r="B284" s="48" t="s">
        <v>14</v>
      </c>
      <c r="C284" s="48">
        <v>199</v>
      </c>
      <c r="D284" s="48" t="s">
        <v>567</v>
      </c>
    </row>
    <row r="285" spans="1:4">
      <c r="A285" s="48" t="s">
        <v>568</v>
      </c>
      <c r="B285" s="48" t="s">
        <v>16</v>
      </c>
      <c r="C285" s="48">
        <v>10</v>
      </c>
      <c r="D285" s="48" t="s">
        <v>565</v>
      </c>
    </row>
    <row r="286" spans="1:4">
      <c r="A286" s="48" t="s">
        <v>568</v>
      </c>
      <c r="B286" s="48" t="s">
        <v>16</v>
      </c>
      <c r="C286" s="48">
        <v>11</v>
      </c>
      <c r="D286" s="48" t="s">
        <v>566</v>
      </c>
    </row>
    <row r="287" spans="1:4">
      <c r="A287" s="48" t="s">
        <v>568</v>
      </c>
      <c r="B287" s="48" t="s">
        <v>16</v>
      </c>
      <c r="C287" s="48">
        <v>8</v>
      </c>
      <c r="D287" s="48" t="s">
        <v>567</v>
      </c>
    </row>
    <row r="288" spans="1:4">
      <c r="A288" s="48" t="s">
        <v>568</v>
      </c>
      <c r="B288" s="48" t="s">
        <v>18</v>
      </c>
      <c r="C288" s="48">
        <v>51130</v>
      </c>
      <c r="D288" s="48" t="s">
        <v>530</v>
      </c>
    </row>
    <row r="289" spans="1:4">
      <c r="A289" s="48" t="s">
        <v>568</v>
      </c>
      <c r="B289" s="48" t="s">
        <v>18</v>
      </c>
      <c r="C289" s="48">
        <v>31030</v>
      </c>
      <c r="D289" s="48" t="s">
        <v>569</v>
      </c>
    </row>
    <row r="290" spans="1:4">
      <c r="A290" s="48" t="s">
        <v>570</v>
      </c>
      <c r="B290" s="48" t="s">
        <v>6</v>
      </c>
      <c r="C290" s="48">
        <v>624</v>
      </c>
      <c r="D290" s="48" t="s">
        <v>530</v>
      </c>
    </row>
    <row r="291" spans="1:4">
      <c r="A291" s="48" t="s">
        <v>570</v>
      </c>
      <c r="B291" s="48" t="s">
        <v>6</v>
      </c>
      <c r="C291" s="48">
        <v>419</v>
      </c>
      <c r="D291" s="48" t="s">
        <v>564</v>
      </c>
    </row>
    <row r="292" spans="1:4">
      <c r="A292" s="48" t="s">
        <v>570</v>
      </c>
      <c r="B292" s="48" t="s">
        <v>6</v>
      </c>
      <c r="C292" s="48">
        <v>255</v>
      </c>
      <c r="D292" s="48" t="s">
        <v>565</v>
      </c>
    </row>
    <row r="293" spans="1:4">
      <c r="A293" s="48" t="s">
        <v>570</v>
      </c>
      <c r="B293" s="48" t="s">
        <v>6</v>
      </c>
      <c r="C293" s="48">
        <v>281</v>
      </c>
      <c r="D293" s="48" t="s">
        <v>566</v>
      </c>
    </row>
    <row r="294" spans="1:4">
      <c r="A294" s="48" t="s">
        <v>570</v>
      </c>
      <c r="B294" s="48" t="s">
        <v>20</v>
      </c>
      <c r="C294" s="48">
        <v>9814</v>
      </c>
      <c r="D294" s="48" t="s">
        <v>530</v>
      </c>
    </row>
    <row r="295" spans="1:4">
      <c r="A295" s="48" t="s">
        <v>570</v>
      </c>
      <c r="B295" s="48" t="s">
        <v>20</v>
      </c>
      <c r="C295" s="48">
        <v>43653</v>
      </c>
      <c r="D295" s="48" t="s">
        <v>530</v>
      </c>
    </row>
    <row r="296" spans="1:4">
      <c r="A296" s="48" t="s">
        <v>570</v>
      </c>
      <c r="B296" s="48" t="s">
        <v>20</v>
      </c>
      <c r="C296" s="48">
        <v>25049</v>
      </c>
      <c r="D296" s="48" t="s">
        <v>564</v>
      </c>
    </row>
    <row r="297" spans="1:4">
      <c r="A297" s="48" t="s">
        <v>570</v>
      </c>
      <c r="B297" s="48" t="s">
        <v>20</v>
      </c>
      <c r="C297" s="48">
        <v>38864</v>
      </c>
      <c r="D297" s="48" t="s">
        <v>564</v>
      </c>
    </row>
    <row r="298" spans="1:4">
      <c r="A298" s="48" t="s">
        <v>570</v>
      </c>
      <c r="B298" s="48" t="s">
        <v>20</v>
      </c>
      <c r="C298" s="48">
        <v>11716</v>
      </c>
      <c r="D298" s="48" t="s">
        <v>565</v>
      </c>
    </row>
    <row r="299" spans="1:4">
      <c r="A299" s="48" t="s">
        <v>570</v>
      </c>
      <c r="B299" s="48" t="s">
        <v>20</v>
      </c>
      <c r="C299" s="48">
        <v>18178</v>
      </c>
      <c r="D299" s="48" t="s">
        <v>565</v>
      </c>
    </row>
    <row r="300" spans="1:4">
      <c r="A300" s="48" t="s">
        <v>570</v>
      </c>
      <c r="B300" s="48" t="s">
        <v>20</v>
      </c>
      <c r="C300" s="48">
        <v>7141</v>
      </c>
      <c r="D300" s="48" t="s">
        <v>566</v>
      </c>
    </row>
    <row r="301" spans="1:4">
      <c r="A301" s="48" t="s">
        <v>570</v>
      </c>
      <c r="B301" s="48" t="s">
        <v>20</v>
      </c>
      <c r="C301" s="48">
        <v>10326</v>
      </c>
      <c r="D301" s="48" t="s">
        <v>566</v>
      </c>
    </row>
    <row r="302" spans="1:4">
      <c r="A302" s="48" t="s">
        <v>570</v>
      </c>
      <c r="B302" s="48" t="s">
        <v>20</v>
      </c>
      <c r="C302" s="48">
        <v>17313</v>
      </c>
      <c r="D302" s="48" t="s">
        <v>566</v>
      </c>
    </row>
    <row r="303" spans="1:4">
      <c r="A303" s="48" t="s">
        <v>570</v>
      </c>
      <c r="B303" s="48" t="s">
        <v>20</v>
      </c>
      <c r="C303" s="48">
        <v>25033</v>
      </c>
      <c r="D303" s="48" t="s">
        <v>566</v>
      </c>
    </row>
    <row r="304" spans="1:4">
      <c r="A304" s="48" t="s">
        <v>570</v>
      </c>
      <c r="B304" s="48" t="s">
        <v>20</v>
      </c>
      <c r="C304" s="48">
        <v>16175</v>
      </c>
      <c r="D304" s="48" t="s">
        <v>567</v>
      </c>
    </row>
    <row r="305" spans="1:4">
      <c r="A305" s="48" t="s">
        <v>570</v>
      </c>
      <c r="B305" s="48" t="s">
        <v>20</v>
      </c>
      <c r="C305" s="48">
        <v>25096</v>
      </c>
      <c r="D305" s="48" t="s">
        <v>567</v>
      </c>
    </row>
    <row r="306" spans="1:4">
      <c r="A306" s="48" t="s">
        <v>570</v>
      </c>
      <c r="B306" s="48" t="s">
        <v>10</v>
      </c>
      <c r="C306" s="48">
        <v>545</v>
      </c>
      <c r="D306" s="48" t="s">
        <v>565</v>
      </c>
    </row>
    <row r="307" spans="1:4">
      <c r="A307" s="48" t="s">
        <v>570</v>
      </c>
      <c r="B307" s="48" t="s">
        <v>10</v>
      </c>
      <c r="C307" s="48">
        <v>600</v>
      </c>
      <c r="D307" s="48" t="s">
        <v>566</v>
      </c>
    </row>
    <row r="308" spans="1:4">
      <c r="A308" s="48" t="s">
        <v>570</v>
      </c>
      <c r="B308" s="48" t="s">
        <v>10</v>
      </c>
      <c r="C308" s="48">
        <v>645</v>
      </c>
      <c r="D308" s="48" t="s">
        <v>566</v>
      </c>
    </row>
    <row r="309" spans="1:4">
      <c r="A309" s="48" t="s">
        <v>570</v>
      </c>
      <c r="B309" s="48" t="s">
        <v>10</v>
      </c>
      <c r="C309" s="48">
        <v>565</v>
      </c>
      <c r="D309" s="48" t="s">
        <v>567</v>
      </c>
    </row>
    <row r="310" spans="1:4">
      <c r="A310" s="48" t="s">
        <v>570</v>
      </c>
      <c r="B310" s="48" t="s">
        <v>14</v>
      </c>
      <c r="C310" s="48">
        <v>112</v>
      </c>
      <c r="D310" s="48" t="s">
        <v>565</v>
      </c>
    </row>
    <row r="311" spans="1:4">
      <c r="A311" s="48" t="s">
        <v>570</v>
      </c>
      <c r="B311" s="48" t="s">
        <v>14</v>
      </c>
      <c r="C311" s="48">
        <v>124</v>
      </c>
      <c r="D311" s="48" t="s">
        <v>566</v>
      </c>
    </row>
    <row r="312" spans="1:4">
      <c r="A312" s="48" t="s">
        <v>570</v>
      </c>
      <c r="B312" s="48" t="s">
        <v>14</v>
      </c>
      <c r="C312" s="48">
        <v>199</v>
      </c>
      <c r="D312" s="48" t="s">
        <v>567</v>
      </c>
    </row>
    <row r="313" spans="1:4">
      <c r="A313" s="48" t="s">
        <v>570</v>
      </c>
      <c r="B313" s="48" t="s">
        <v>16</v>
      </c>
      <c r="C313" s="48">
        <v>10</v>
      </c>
      <c r="D313" s="48" t="s">
        <v>565</v>
      </c>
    </row>
    <row r="314" spans="1:4">
      <c r="A314" s="48" t="s">
        <v>570</v>
      </c>
      <c r="B314" s="48" t="s">
        <v>16</v>
      </c>
      <c r="C314" s="48">
        <v>11</v>
      </c>
      <c r="D314" s="48" t="s">
        <v>566</v>
      </c>
    </row>
    <row r="315" spans="1:4">
      <c r="A315" s="48" t="s">
        <v>570</v>
      </c>
      <c r="B315" s="48" t="s">
        <v>16</v>
      </c>
      <c r="C315" s="48">
        <v>8</v>
      </c>
      <c r="D315" s="48" t="s">
        <v>567</v>
      </c>
    </row>
    <row r="316" spans="1:4">
      <c r="A316" s="48" t="s">
        <v>570</v>
      </c>
      <c r="B316" s="48" t="s">
        <v>18</v>
      </c>
      <c r="C316" s="48">
        <v>95166</v>
      </c>
      <c r="D316" s="48" t="s">
        <v>530</v>
      </c>
    </row>
    <row r="317" spans="1:4">
      <c r="A317" s="48" t="s">
        <v>570</v>
      </c>
      <c r="B317" s="48" t="s">
        <v>18</v>
      </c>
      <c r="C317" s="48">
        <v>78550</v>
      </c>
      <c r="D317" s="48" t="s">
        <v>564</v>
      </c>
    </row>
    <row r="318" spans="1:4">
      <c r="A318" s="48" t="s">
        <v>570</v>
      </c>
      <c r="B318" s="48" t="s">
        <v>18</v>
      </c>
      <c r="C318" s="48">
        <v>61648</v>
      </c>
      <c r="D318" s="48" t="s">
        <v>565</v>
      </c>
    </row>
    <row r="319" spans="1:4">
      <c r="A319" s="48" t="s">
        <v>570</v>
      </c>
      <c r="B319" s="48" t="s">
        <v>18</v>
      </c>
      <c r="C319" s="48">
        <v>67695</v>
      </c>
      <c r="D319" s="48" t="s">
        <v>566</v>
      </c>
    </row>
    <row r="320" spans="1:4">
      <c r="A320" s="48" t="s">
        <v>571</v>
      </c>
      <c r="B320" s="48" t="s">
        <v>6</v>
      </c>
      <c r="C320" s="48">
        <v>1300</v>
      </c>
      <c r="D320" s="48" t="s">
        <v>280</v>
      </c>
    </row>
    <row r="321" spans="1:4">
      <c r="A321" s="48" t="s">
        <v>571</v>
      </c>
      <c r="B321" s="48" t="s">
        <v>20</v>
      </c>
      <c r="C321" s="48">
        <v>25087</v>
      </c>
      <c r="D321" s="48" t="s">
        <v>280</v>
      </c>
    </row>
    <row r="322" spans="1:4">
      <c r="A322" s="48" t="s">
        <v>571</v>
      </c>
      <c r="B322" s="48" t="s">
        <v>20</v>
      </c>
      <c r="C322" s="48">
        <v>38923</v>
      </c>
      <c r="D322" s="48" t="s">
        <v>280</v>
      </c>
    </row>
    <row r="323" spans="1:4">
      <c r="A323" s="48" t="s">
        <v>571</v>
      </c>
      <c r="B323" s="48" t="s">
        <v>10</v>
      </c>
      <c r="C323" s="48">
        <v>545</v>
      </c>
      <c r="D323" s="48" t="s">
        <v>565</v>
      </c>
    </row>
    <row r="324" spans="1:4">
      <c r="A324" s="48" t="s">
        <v>571</v>
      </c>
      <c r="B324" s="48" t="s">
        <v>10</v>
      </c>
      <c r="C324" s="48">
        <v>600</v>
      </c>
      <c r="D324" s="48" t="s">
        <v>566</v>
      </c>
    </row>
    <row r="325" spans="1:4">
      <c r="A325" s="48" t="s">
        <v>571</v>
      </c>
      <c r="B325" s="48" t="s">
        <v>10</v>
      </c>
      <c r="C325" s="48">
        <v>645</v>
      </c>
      <c r="D325" s="48" t="s">
        <v>566</v>
      </c>
    </row>
    <row r="326" spans="1:4">
      <c r="A326" s="48" t="s">
        <v>571</v>
      </c>
      <c r="B326" s="48" t="s">
        <v>14</v>
      </c>
      <c r="C326" s="48">
        <v>112</v>
      </c>
      <c r="D326" s="48" t="s">
        <v>565</v>
      </c>
    </row>
    <row r="327" spans="1:4">
      <c r="A327" s="48" t="s">
        <v>571</v>
      </c>
      <c r="B327" s="48" t="s">
        <v>14</v>
      </c>
      <c r="C327" s="48">
        <v>124</v>
      </c>
      <c r="D327" s="48" t="s">
        <v>566</v>
      </c>
    </row>
    <row r="328" spans="1:4">
      <c r="A328" s="48" t="s">
        <v>571</v>
      </c>
      <c r="B328" s="48" t="s">
        <v>14</v>
      </c>
      <c r="C328" s="48">
        <v>199</v>
      </c>
      <c r="D328" s="48" t="s">
        <v>567</v>
      </c>
    </row>
    <row r="329" spans="1:4">
      <c r="A329" s="48" t="s">
        <v>571</v>
      </c>
      <c r="B329" s="48" t="s">
        <v>16</v>
      </c>
      <c r="C329" s="48">
        <v>10</v>
      </c>
      <c r="D329" s="48" t="s">
        <v>565</v>
      </c>
    </row>
    <row r="330" spans="1:4">
      <c r="A330" s="48" t="s">
        <v>571</v>
      </c>
      <c r="B330" s="48" t="s">
        <v>16</v>
      </c>
      <c r="C330" s="48">
        <v>11</v>
      </c>
      <c r="D330" s="48" t="s">
        <v>566</v>
      </c>
    </row>
    <row r="331" spans="1:4">
      <c r="A331" s="48" t="s">
        <v>571</v>
      </c>
      <c r="B331" s="48" t="s">
        <v>16</v>
      </c>
      <c r="C331" s="48">
        <v>8</v>
      </c>
      <c r="D331" s="48" t="s">
        <v>567</v>
      </c>
    </row>
    <row r="332" spans="1:4">
      <c r="A332" s="48" t="s">
        <v>571</v>
      </c>
      <c r="B332" s="48" t="s">
        <v>18</v>
      </c>
      <c r="C332" s="48">
        <v>79560</v>
      </c>
      <c r="D332" s="48" t="s">
        <v>280</v>
      </c>
    </row>
    <row r="333" spans="1:4">
      <c r="A333" s="48" t="s">
        <v>572</v>
      </c>
      <c r="B333" s="48" t="s">
        <v>6</v>
      </c>
      <c r="C333" s="48">
        <v>230</v>
      </c>
      <c r="D333" s="48" t="s">
        <v>530</v>
      </c>
    </row>
    <row r="334" spans="1:4">
      <c r="A334" s="48" t="s">
        <v>572</v>
      </c>
      <c r="B334" s="48" t="s">
        <v>6</v>
      </c>
      <c r="C334" s="48">
        <v>204</v>
      </c>
      <c r="D334" s="48" t="s">
        <v>569</v>
      </c>
    </row>
    <row r="335" spans="1:4">
      <c r="A335" s="48" t="s">
        <v>572</v>
      </c>
      <c r="B335" s="48" t="s">
        <v>20</v>
      </c>
      <c r="C335" s="48">
        <v>8067</v>
      </c>
      <c r="D335" s="48" t="s">
        <v>530</v>
      </c>
    </row>
    <row r="336" spans="1:4">
      <c r="A336" s="48" t="s">
        <v>572</v>
      </c>
      <c r="B336" s="48" t="s">
        <v>20</v>
      </c>
      <c r="C336" s="48">
        <v>17447</v>
      </c>
      <c r="D336" s="48" t="s">
        <v>530</v>
      </c>
    </row>
    <row r="337" spans="1:4">
      <c r="A337" s="48" t="s">
        <v>572</v>
      </c>
      <c r="B337" s="48" t="s">
        <v>20</v>
      </c>
      <c r="C337" s="48">
        <v>15423</v>
      </c>
      <c r="D337" s="48" t="s">
        <v>569</v>
      </c>
    </row>
    <row r="338" spans="1:4">
      <c r="A338" s="48" t="s">
        <v>572</v>
      </c>
      <c r="B338" s="48" t="s">
        <v>20</v>
      </c>
      <c r="C338" s="48">
        <v>23929</v>
      </c>
      <c r="D338" s="48" t="s">
        <v>569</v>
      </c>
    </row>
    <row r="339" spans="1:4">
      <c r="A339" s="48" t="s">
        <v>572</v>
      </c>
      <c r="B339" s="48" t="s">
        <v>10</v>
      </c>
      <c r="C339" s="48">
        <v>545</v>
      </c>
      <c r="D339" s="48" t="s">
        <v>565</v>
      </c>
    </row>
    <row r="340" spans="1:4">
      <c r="A340" s="48" t="s">
        <v>572</v>
      </c>
      <c r="B340" s="48" t="s">
        <v>10</v>
      </c>
      <c r="C340" s="48">
        <v>600</v>
      </c>
      <c r="D340" s="48" t="s">
        <v>566</v>
      </c>
    </row>
    <row r="341" spans="1:4">
      <c r="A341" s="48" t="s">
        <v>572</v>
      </c>
      <c r="B341" s="48" t="s">
        <v>10</v>
      </c>
      <c r="C341" s="48">
        <v>645</v>
      </c>
      <c r="D341" s="48" t="s">
        <v>566</v>
      </c>
    </row>
    <row r="342" spans="1:4">
      <c r="A342" s="48" t="s">
        <v>572</v>
      </c>
      <c r="B342" s="48" t="s">
        <v>10</v>
      </c>
      <c r="C342" s="48">
        <v>565</v>
      </c>
      <c r="D342" s="48" t="s">
        <v>567</v>
      </c>
    </row>
    <row r="343" spans="1:4">
      <c r="A343" s="48" t="s">
        <v>572</v>
      </c>
      <c r="B343" s="48" t="s">
        <v>14</v>
      </c>
      <c r="C343" s="48">
        <v>112</v>
      </c>
      <c r="D343" s="48" t="s">
        <v>566</v>
      </c>
    </row>
    <row r="344" spans="1:4">
      <c r="A344" s="48" t="s">
        <v>572</v>
      </c>
      <c r="B344" s="48" t="s">
        <v>14</v>
      </c>
      <c r="C344" s="48">
        <v>124</v>
      </c>
      <c r="D344" s="48" t="s">
        <v>566</v>
      </c>
    </row>
    <row r="345" spans="1:4">
      <c r="A345" s="48" t="s">
        <v>572</v>
      </c>
      <c r="B345" s="48" t="s">
        <v>14</v>
      </c>
      <c r="C345" s="48">
        <v>199</v>
      </c>
      <c r="D345" s="48" t="s">
        <v>567</v>
      </c>
    </row>
    <row r="346" spans="1:4">
      <c r="A346" s="48" t="s">
        <v>572</v>
      </c>
      <c r="B346" s="48" t="s">
        <v>16</v>
      </c>
      <c r="C346" s="48">
        <v>10</v>
      </c>
      <c r="D346" s="48" t="s">
        <v>566</v>
      </c>
    </row>
    <row r="347" spans="1:4">
      <c r="A347" s="48" t="s">
        <v>572</v>
      </c>
      <c r="B347" s="48" t="s">
        <v>16</v>
      </c>
      <c r="C347" s="48">
        <v>11</v>
      </c>
      <c r="D347" s="48" t="s">
        <v>566</v>
      </c>
    </row>
    <row r="348" spans="1:4">
      <c r="A348" s="48" t="s">
        <v>572</v>
      </c>
      <c r="B348" s="48" t="s">
        <v>16</v>
      </c>
      <c r="C348" s="48">
        <v>8</v>
      </c>
      <c r="D348" s="48" t="s">
        <v>567</v>
      </c>
    </row>
    <row r="349" spans="1:4">
      <c r="A349" s="48" t="s">
        <v>572</v>
      </c>
      <c r="B349" s="48" t="s">
        <v>18</v>
      </c>
      <c r="C349" s="48">
        <v>78229</v>
      </c>
      <c r="D349" s="48" t="s">
        <v>530</v>
      </c>
    </row>
    <row r="350" spans="1:4">
      <c r="A350" s="48" t="s">
        <v>572</v>
      </c>
      <c r="B350" s="48" t="s">
        <v>18</v>
      </c>
      <c r="C350" s="48">
        <v>47476</v>
      </c>
      <c r="D350" s="48" t="s">
        <v>569</v>
      </c>
    </row>
    <row r="351" spans="1:4">
      <c r="A351" s="48" t="s">
        <v>330</v>
      </c>
      <c r="B351" s="48" t="s">
        <v>5</v>
      </c>
      <c r="C351" s="48">
        <v>1</v>
      </c>
      <c r="D351" s="48" t="s">
        <v>573</v>
      </c>
    </row>
    <row r="352" spans="1:4">
      <c r="A352" s="48" t="s">
        <v>330</v>
      </c>
      <c r="B352" s="48" t="s">
        <v>5</v>
      </c>
      <c r="C352" s="48">
        <v>1</v>
      </c>
      <c r="D352" s="48" t="s">
        <v>566</v>
      </c>
    </row>
    <row r="353" spans="1:4">
      <c r="A353" s="48" t="s">
        <v>330</v>
      </c>
      <c r="B353" s="48" t="s">
        <v>5</v>
      </c>
      <c r="C353" s="48">
        <v>1</v>
      </c>
      <c r="D353" s="48" t="s">
        <v>574</v>
      </c>
    </row>
    <row r="354" spans="1:4">
      <c r="A354" s="48" t="s">
        <v>330</v>
      </c>
      <c r="B354" s="48" t="s">
        <v>6</v>
      </c>
      <c r="C354" s="48">
        <v>18</v>
      </c>
      <c r="D354" s="48" t="s">
        <v>573</v>
      </c>
    </row>
    <row r="355" spans="1:4">
      <c r="A355" s="48" t="s">
        <v>330</v>
      </c>
      <c r="B355" s="48" t="s">
        <v>6</v>
      </c>
      <c r="C355" s="48">
        <v>54</v>
      </c>
      <c r="D355" s="48" t="s">
        <v>566</v>
      </c>
    </row>
    <row r="356" spans="1:4">
      <c r="A356" s="48" t="s">
        <v>330</v>
      </c>
      <c r="B356" s="48" t="s">
        <v>6</v>
      </c>
      <c r="C356" s="48">
        <v>45</v>
      </c>
      <c r="D356" s="48" t="s">
        <v>566</v>
      </c>
    </row>
    <row r="357" spans="1:4">
      <c r="A357" s="48" t="s">
        <v>330</v>
      </c>
      <c r="B357" s="48" t="s">
        <v>6</v>
      </c>
      <c r="C357" s="48">
        <v>33</v>
      </c>
      <c r="D357" s="48" t="s">
        <v>574</v>
      </c>
    </row>
    <row r="358" spans="1:4">
      <c r="A358" s="48" t="s">
        <v>330</v>
      </c>
      <c r="B358" s="48" t="s">
        <v>20</v>
      </c>
      <c r="C358" s="48">
        <v>22872</v>
      </c>
      <c r="D358" s="48" t="s">
        <v>575</v>
      </c>
    </row>
    <row r="359" spans="1:4">
      <c r="A359" s="48" t="s">
        <v>330</v>
      </c>
      <c r="B359" s="48" t="s">
        <v>20</v>
      </c>
      <c r="C359" s="48">
        <v>55447</v>
      </c>
      <c r="D359" s="48" t="s">
        <v>575</v>
      </c>
    </row>
    <row r="360" spans="1:4">
      <c r="A360" s="48" t="s">
        <v>330</v>
      </c>
      <c r="B360" s="48" t="s">
        <v>20</v>
      </c>
      <c r="C360" s="48">
        <v>21089</v>
      </c>
      <c r="D360" s="48" t="s">
        <v>575</v>
      </c>
    </row>
    <row r="361" spans="1:4">
      <c r="A361" s="48" t="s">
        <v>330</v>
      </c>
      <c r="B361" s="48" t="s">
        <v>20</v>
      </c>
      <c r="C361" s="48">
        <v>51125</v>
      </c>
      <c r="D361" s="48" t="s">
        <v>575</v>
      </c>
    </row>
    <row r="362" spans="1:4">
      <c r="A362" s="48" t="s">
        <v>330</v>
      </c>
      <c r="B362" s="48" t="s">
        <v>20</v>
      </c>
      <c r="C362" s="48">
        <v>30133</v>
      </c>
      <c r="D362" s="48" t="s">
        <v>573</v>
      </c>
    </row>
    <row r="363" spans="1:4">
      <c r="A363" s="48" t="s">
        <v>330</v>
      </c>
      <c r="B363" s="48" t="s">
        <v>20</v>
      </c>
      <c r="C363" s="48">
        <v>19600</v>
      </c>
      <c r="D363" s="48" t="s">
        <v>566</v>
      </c>
    </row>
    <row r="364" spans="1:4">
      <c r="A364" s="48" t="s">
        <v>330</v>
      </c>
      <c r="B364" s="48" t="s">
        <v>20</v>
      </c>
      <c r="C364" s="48">
        <v>30400</v>
      </c>
      <c r="D364" s="48" t="s">
        <v>566</v>
      </c>
    </row>
    <row r="365" spans="1:4">
      <c r="A365" s="48" t="s">
        <v>330</v>
      </c>
      <c r="B365" s="48" t="s">
        <v>20</v>
      </c>
      <c r="C365" s="48">
        <v>39590</v>
      </c>
      <c r="D365" s="48" t="s">
        <v>620</v>
      </c>
    </row>
    <row r="366" spans="1:4">
      <c r="A366" s="48" t="s">
        <v>330</v>
      </c>
      <c r="B366" s="48" t="s">
        <v>20</v>
      </c>
      <c r="C366" s="48">
        <v>61420</v>
      </c>
      <c r="D366" s="48" t="s">
        <v>620</v>
      </c>
    </row>
    <row r="367" spans="1:4">
      <c r="A367" s="48" t="s">
        <v>330</v>
      </c>
      <c r="B367" s="48" t="s">
        <v>10</v>
      </c>
      <c r="C367" s="48">
        <v>1345</v>
      </c>
      <c r="D367" s="48" t="s">
        <v>555</v>
      </c>
    </row>
    <row r="368" spans="1:4">
      <c r="A368" s="48" t="s">
        <v>330</v>
      </c>
      <c r="B368" s="48" t="s">
        <v>10</v>
      </c>
      <c r="C368" s="48">
        <v>726</v>
      </c>
      <c r="D368" s="48" t="s">
        <v>573</v>
      </c>
    </row>
    <row r="369" spans="1:4">
      <c r="A369" s="48" t="s">
        <v>330</v>
      </c>
      <c r="B369" s="48" t="s">
        <v>10</v>
      </c>
      <c r="C369" s="48">
        <v>907</v>
      </c>
      <c r="D369" s="48" t="s">
        <v>566</v>
      </c>
    </row>
    <row r="370" spans="1:4">
      <c r="A370" s="48" t="s">
        <v>330</v>
      </c>
      <c r="B370" s="48" t="s">
        <v>10</v>
      </c>
      <c r="C370" s="48">
        <v>2000</v>
      </c>
      <c r="D370" s="48" t="s">
        <v>566</v>
      </c>
    </row>
    <row r="371" spans="1:4">
      <c r="A371" s="48" t="s">
        <v>330</v>
      </c>
      <c r="B371" s="48" t="s">
        <v>10</v>
      </c>
      <c r="C371" s="48">
        <v>1481</v>
      </c>
      <c r="D371" s="48" t="s">
        <v>574</v>
      </c>
    </row>
    <row r="372" spans="1:4">
      <c r="A372" s="48" t="s">
        <v>330</v>
      </c>
      <c r="B372" s="48" t="s">
        <v>14</v>
      </c>
      <c r="C372" s="48">
        <v>467</v>
      </c>
      <c r="D372" s="48" t="s">
        <v>573</v>
      </c>
    </row>
    <row r="373" spans="1:4">
      <c r="A373" s="48" t="s">
        <v>330</v>
      </c>
      <c r="B373" s="48" t="s">
        <v>14</v>
      </c>
      <c r="C373" s="48">
        <v>209</v>
      </c>
      <c r="D373" s="48" t="s">
        <v>566</v>
      </c>
    </row>
    <row r="374" spans="1:4">
      <c r="A374" s="48" t="s">
        <v>330</v>
      </c>
      <c r="B374" s="48" t="s">
        <v>14</v>
      </c>
      <c r="C374" s="48">
        <v>400</v>
      </c>
      <c r="D374" s="48" t="s">
        <v>566</v>
      </c>
    </row>
    <row r="375" spans="1:4">
      <c r="A375" s="48" t="s">
        <v>330</v>
      </c>
      <c r="B375" s="48" t="s">
        <v>14</v>
      </c>
      <c r="C375" s="48">
        <v>296</v>
      </c>
      <c r="D375" s="48" t="s">
        <v>574</v>
      </c>
    </row>
    <row r="376" spans="1:4">
      <c r="A376" s="48" t="s">
        <v>330</v>
      </c>
      <c r="B376" s="48" t="s">
        <v>16</v>
      </c>
      <c r="C376" s="48">
        <v>300</v>
      </c>
      <c r="D376" s="48" t="s">
        <v>555</v>
      </c>
    </row>
    <row r="377" spans="1:4">
      <c r="A377" s="48" t="s">
        <v>330</v>
      </c>
      <c r="B377" s="48" t="s">
        <v>16</v>
      </c>
      <c r="C377" s="48">
        <v>484</v>
      </c>
      <c r="D377" s="48" t="s">
        <v>573</v>
      </c>
    </row>
    <row r="378" spans="1:4">
      <c r="A378" s="48" t="s">
        <v>330</v>
      </c>
      <c r="B378" s="48" t="s">
        <v>16</v>
      </c>
      <c r="C378" s="48">
        <v>49</v>
      </c>
      <c r="D378" s="48" t="s">
        <v>566</v>
      </c>
    </row>
    <row r="379" spans="1:4">
      <c r="A379" s="48" t="s">
        <v>330</v>
      </c>
      <c r="B379" s="48" t="s">
        <v>16</v>
      </c>
      <c r="C379" s="48">
        <v>100</v>
      </c>
      <c r="D379" s="48" t="s">
        <v>566</v>
      </c>
    </row>
    <row r="380" spans="1:4">
      <c r="A380" s="48" t="s">
        <v>330</v>
      </c>
      <c r="B380" s="48" t="s">
        <v>16</v>
      </c>
      <c r="C380" s="48">
        <v>74</v>
      </c>
      <c r="D380" s="48" t="s">
        <v>574</v>
      </c>
    </row>
    <row r="381" spans="1:4">
      <c r="A381" s="48" t="s">
        <v>330</v>
      </c>
      <c r="B381" s="48" t="s">
        <v>18</v>
      </c>
      <c r="C381" s="48">
        <v>44821</v>
      </c>
      <c r="D381" s="48" t="s">
        <v>575</v>
      </c>
    </row>
    <row r="382" spans="1:4">
      <c r="A382" s="48" t="s">
        <v>330</v>
      </c>
      <c r="B382" s="48" t="s">
        <v>18</v>
      </c>
      <c r="C382" s="48">
        <v>43206</v>
      </c>
      <c r="D382" s="48" t="s">
        <v>575</v>
      </c>
    </row>
    <row r="383" spans="1:4">
      <c r="A383" s="48" t="s">
        <v>330</v>
      </c>
      <c r="B383" s="48" t="s">
        <v>18</v>
      </c>
      <c r="C383" s="48">
        <v>36068</v>
      </c>
      <c r="D383" s="48" t="s">
        <v>573</v>
      </c>
    </row>
    <row r="384" spans="1:4">
      <c r="A384" s="48" t="s">
        <v>330</v>
      </c>
      <c r="B384" s="48" t="s">
        <v>18</v>
      </c>
      <c r="C384" s="48">
        <v>10000</v>
      </c>
      <c r="D384" s="48" t="s">
        <v>566</v>
      </c>
    </row>
    <row r="385" spans="1:4">
      <c r="A385" s="48" t="s">
        <v>330</v>
      </c>
      <c r="B385" s="48" t="s">
        <v>18</v>
      </c>
      <c r="C385" s="48">
        <v>7407</v>
      </c>
      <c r="D385" s="48" t="s">
        <v>574</v>
      </c>
    </row>
    <row r="386" spans="1:4">
      <c r="A386" s="48" t="s">
        <v>330</v>
      </c>
      <c r="B386" s="48" t="s">
        <v>18</v>
      </c>
      <c r="C386" s="48">
        <v>50400</v>
      </c>
      <c r="D386" s="48" t="s">
        <v>620</v>
      </c>
    </row>
    <row r="387" spans="1:4">
      <c r="A387" s="48" t="s">
        <v>419</v>
      </c>
      <c r="B387" s="48" t="s">
        <v>6</v>
      </c>
      <c r="C387" s="48">
        <v>52</v>
      </c>
      <c r="D387" s="48" t="s">
        <v>576</v>
      </c>
    </row>
    <row r="388" spans="1:4">
      <c r="A388" s="48" t="s">
        <v>419</v>
      </c>
      <c r="B388" s="48" t="s">
        <v>20</v>
      </c>
      <c r="C388" s="48">
        <v>1086216</v>
      </c>
      <c r="D388" s="48" t="s">
        <v>577</v>
      </c>
    </row>
    <row r="389" spans="1:4">
      <c r="A389" s="48" t="s">
        <v>419</v>
      </c>
      <c r="B389" s="48" t="s">
        <v>20</v>
      </c>
      <c r="C389" s="48">
        <v>594619</v>
      </c>
      <c r="D389" s="48" t="s">
        <v>577</v>
      </c>
    </row>
    <row r="390" spans="1:4">
      <c r="A390" s="48" t="s">
        <v>419</v>
      </c>
      <c r="B390" s="48" t="s">
        <v>20</v>
      </c>
      <c r="C390" s="48">
        <v>922560</v>
      </c>
      <c r="D390" s="48" t="s">
        <v>577</v>
      </c>
    </row>
    <row r="391" spans="1:4">
      <c r="A391" s="48" t="s">
        <v>419</v>
      </c>
      <c r="B391" s="48" t="s">
        <v>20</v>
      </c>
      <c r="C391" s="48">
        <v>1685280</v>
      </c>
      <c r="D391" s="48" t="s">
        <v>577</v>
      </c>
    </row>
    <row r="392" spans="1:4">
      <c r="A392" s="48" t="s">
        <v>419</v>
      </c>
      <c r="B392" s="48" t="s">
        <v>20</v>
      </c>
      <c r="C392" s="48">
        <v>1223040</v>
      </c>
      <c r="D392" s="48" t="s">
        <v>576</v>
      </c>
    </row>
    <row r="393" spans="1:4">
      <c r="A393" s="48" t="s">
        <v>419</v>
      </c>
      <c r="B393" s="48" t="s">
        <v>20</v>
      </c>
      <c r="C393" s="48">
        <v>788288</v>
      </c>
      <c r="D393" s="48" t="s">
        <v>576</v>
      </c>
    </row>
    <row r="394" spans="1:4">
      <c r="A394" s="48" t="s">
        <v>419</v>
      </c>
      <c r="B394" s="48" t="s">
        <v>20</v>
      </c>
      <c r="C394" s="48">
        <v>1068800</v>
      </c>
      <c r="D394" s="48" t="s">
        <v>415</v>
      </c>
    </row>
    <row r="395" spans="1:4">
      <c r="A395" s="48" t="s">
        <v>419</v>
      </c>
      <c r="B395" s="48" t="s">
        <v>20</v>
      </c>
      <c r="C395" s="48">
        <v>688875</v>
      </c>
      <c r="D395" s="48" t="s">
        <v>415</v>
      </c>
    </row>
    <row r="396" spans="1:4">
      <c r="A396" s="48" t="s">
        <v>419</v>
      </c>
      <c r="B396" s="48" t="s">
        <v>10</v>
      </c>
      <c r="C396" s="48">
        <v>2970</v>
      </c>
      <c r="D396" s="48" t="s">
        <v>577</v>
      </c>
    </row>
    <row r="397" spans="1:4">
      <c r="A397" s="48" t="s">
        <v>419</v>
      </c>
      <c r="B397" s="48" t="s">
        <v>10</v>
      </c>
      <c r="C397" s="48">
        <v>1502</v>
      </c>
      <c r="D397" s="48" t="s">
        <v>415</v>
      </c>
    </row>
    <row r="398" spans="1:4">
      <c r="A398" s="48" t="s">
        <v>419</v>
      </c>
      <c r="B398" s="48" t="s">
        <v>10</v>
      </c>
      <c r="C398" s="48">
        <v>1050</v>
      </c>
      <c r="D398" s="48" t="s">
        <v>555</v>
      </c>
    </row>
    <row r="399" spans="1:4">
      <c r="A399" s="48" t="s">
        <v>419</v>
      </c>
      <c r="B399" s="48" t="s">
        <v>10</v>
      </c>
      <c r="C399" s="48">
        <v>2970</v>
      </c>
      <c r="D399" s="48" t="s">
        <v>577</v>
      </c>
    </row>
    <row r="400" spans="1:4">
      <c r="A400" s="48" t="s">
        <v>419</v>
      </c>
      <c r="B400" s="48" t="s">
        <v>18</v>
      </c>
      <c r="C400" s="48">
        <v>78000</v>
      </c>
      <c r="D400" s="48" t="s">
        <v>577</v>
      </c>
    </row>
    <row r="401" spans="1:4">
      <c r="A401" s="48" t="s">
        <v>419</v>
      </c>
      <c r="B401" s="48" t="s">
        <v>18</v>
      </c>
      <c r="C401" s="48">
        <v>24800</v>
      </c>
      <c r="D401" s="48" t="s">
        <v>576</v>
      </c>
    </row>
    <row r="402" spans="1:4">
      <c r="A402" s="48" t="s">
        <v>419</v>
      </c>
      <c r="B402" s="48" t="s">
        <v>18</v>
      </c>
      <c r="C402" s="48">
        <v>54500</v>
      </c>
      <c r="D402" s="48" t="s">
        <v>415</v>
      </c>
    </row>
    <row r="403" spans="1:4">
      <c r="A403" s="48" t="s">
        <v>419</v>
      </c>
      <c r="B403" s="48" t="s">
        <v>18</v>
      </c>
      <c r="C403" s="48">
        <v>177000</v>
      </c>
      <c r="D403" s="48" t="s">
        <v>577</v>
      </c>
    </row>
    <row r="404" spans="1:4">
      <c r="A404" s="48" t="s">
        <v>578</v>
      </c>
      <c r="B404" s="48" t="s">
        <v>6</v>
      </c>
      <c r="C404" s="48">
        <v>2386</v>
      </c>
      <c r="D404" s="48" t="s">
        <v>579</v>
      </c>
    </row>
    <row r="405" spans="1:4">
      <c r="A405" s="48" t="s">
        <v>578</v>
      </c>
      <c r="B405" s="48" t="s">
        <v>6</v>
      </c>
      <c r="C405" s="48">
        <v>1600</v>
      </c>
      <c r="D405" s="48" t="s">
        <v>280</v>
      </c>
    </row>
    <row r="406" spans="1:4">
      <c r="A406" s="48" t="s">
        <v>578</v>
      </c>
      <c r="B406" s="48" t="s">
        <v>6</v>
      </c>
      <c r="C406" s="48">
        <v>45200</v>
      </c>
      <c r="D406" s="48" t="s">
        <v>280</v>
      </c>
    </row>
    <row r="407" spans="1:4">
      <c r="A407" s="48" t="s">
        <v>578</v>
      </c>
      <c r="B407" s="48" t="s">
        <v>6</v>
      </c>
      <c r="C407" s="48">
        <v>42600</v>
      </c>
      <c r="D407" s="48" t="s">
        <v>280</v>
      </c>
    </row>
    <row r="408" spans="1:4">
      <c r="A408" s="48" t="s">
        <v>578</v>
      </c>
      <c r="B408" s="48" t="s">
        <v>6</v>
      </c>
      <c r="C408" s="48">
        <v>10198</v>
      </c>
      <c r="D408" s="48" t="s">
        <v>621</v>
      </c>
    </row>
    <row r="409" spans="1:4">
      <c r="A409" s="48" t="s">
        <v>578</v>
      </c>
      <c r="B409" s="48" t="s">
        <v>6</v>
      </c>
      <c r="C409" s="48">
        <v>1448</v>
      </c>
      <c r="D409" s="48" t="s">
        <v>465</v>
      </c>
    </row>
    <row r="410" spans="1:4">
      <c r="A410" s="48" t="s">
        <v>578</v>
      </c>
      <c r="B410" s="48" t="s">
        <v>6</v>
      </c>
      <c r="C410" s="48">
        <v>9729</v>
      </c>
      <c r="D410" s="48" t="s">
        <v>478</v>
      </c>
    </row>
    <row r="411" spans="1:4">
      <c r="A411" s="48" t="s">
        <v>578</v>
      </c>
      <c r="B411" s="48" t="s">
        <v>20</v>
      </c>
      <c r="C411" s="48">
        <v>232000</v>
      </c>
      <c r="D411" s="48" t="s">
        <v>280</v>
      </c>
    </row>
    <row r="412" spans="1:4">
      <c r="A412" s="48" t="s">
        <v>578</v>
      </c>
      <c r="B412" s="48" t="s">
        <v>20</v>
      </c>
      <c r="C412" s="48">
        <v>76061</v>
      </c>
      <c r="D412" s="48" t="s">
        <v>579</v>
      </c>
    </row>
    <row r="413" spans="1:4">
      <c r="A413" s="48" t="s">
        <v>578</v>
      </c>
      <c r="B413" s="48" t="s">
        <v>20</v>
      </c>
      <c r="C413" s="48">
        <v>87400</v>
      </c>
      <c r="D413" s="48" t="s">
        <v>280</v>
      </c>
    </row>
    <row r="414" spans="1:4">
      <c r="A414" s="48" t="s">
        <v>578</v>
      </c>
      <c r="B414" s="48" t="s">
        <v>20</v>
      </c>
      <c r="C414" s="48">
        <v>988000</v>
      </c>
      <c r="D414" s="48" t="s">
        <v>280</v>
      </c>
    </row>
    <row r="415" spans="1:4">
      <c r="A415" s="48" t="s">
        <v>578</v>
      </c>
      <c r="B415" s="48" t="s">
        <v>20</v>
      </c>
      <c r="C415" s="48">
        <v>987000</v>
      </c>
      <c r="D415" s="48" t="s">
        <v>280</v>
      </c>
    </row>
    <row r="416" spans="1:4">
      <c r="A416" s="48" t="s">
        <v>578</v>
      </c>
      <c r="B416" s="48" t="s">
        <v>20</v>
      </c>
      <c r="C416" s="48">
        <v>311984</v>
      </c>
      <c r="D416" s="48" t="s">
        <v>621</v>
      </c>
    </row>
    <row r="417" spans="1:4">
      <c r="A417" s="48" t="s">
        <v>578</v>
      </c>
      <c r="B417" s="48" t="s">
        <v>20</v>
      </c>
      <c r="C417" s="48">
        <v>271666</v>
      </c>
      <c r="D417" s="48" t="s">
        <v>465</v>
      </c>
    </row>
    <row r="418" spans="1:4">
      <c r="A418" s="48" t="s">
        <v>578</v>
      </c>
      <c r="B418" s="48" t="s">
        <v>20</v>
      </c>
      <c r="C418" s="48">
        <v>196486</v>
      </c>
      <c r="D418" s="48" t="s">
        <v>478</v>
      </c>
    </row>
    <row r="419" spans="1:4">
      <c r="A419" s="48" t="s">
        <v>578</v>
      </c>
      <c r="B419" s="48" t="s">
        <v>10</v>
      </c>
      <c r="C419" s="48">
        <v>597</v>
      </c>
      <c r="D419" s="48" t="s">
        <v>579</v>
      </c>
    </row>
    <row r="420" spans="1:4">
      <c r="A420" s="48" t="s">
        <v>578</v>
      </c>
      <c r="B420" s="48" t="s">
        <v>10</v>
      </c>
      <c r="C420" s="48">
        <v>18885</v>
      </c>
      <c r="D420" s="48" t="s">
        <v>621</v>
      </c>
    </row>
    <row r="421" spans="1:4">
      <c r="A421" s="48" t="s">
        <v>578</v>
      </c>
      <c r="B421" s="48" t="s">
        <v>10</v>
      </c>
      <c r="C421" s="48">
        <v>2518</v>
      </c>
      <c r="D421" s="48" t="s">
        <v>465</v>
      </c>
    </row>
    <row r="422" spans="1:4">
      <c r="A422" s="48" t="s">
        <v>578</v>
      </c>
      <c r="B422" s="48" t="s">
        <v>18</v>
      </c>
      <c r="C422" s="48">
        <v>295000</v>
      </c>
      <c r="D422" s="48" t="s">
        <v>280</v>
      </c>
    </row>
    <row r="423" spans="1:4">
      <c r="A423" s="48" t="s">
        <v>578</v>
      </c>
      <c r="B423" s="48" t="s">
        <v>18</v>
      </c>
      <c r="C423" s="48">
        <v>140347</v>
      </c>
      <c r="D423" s="48" t="s">
        <v>579</v>
      </c>
    </row>
    <row r="424" spans="1:4">
      <c r="A424" s="48" t="s">
        <v>578</v>
      </c>
      <c r="B424" s="48" t="s">
        <v>18</v>
      </c>
      <c r="C424" s="48">
        <v>356000</v>
      </c>
      <c r="D424" s="48" t="s">
        <v>280</v>
      </c>
    </row>
    <row r="425" spans="1:4">
      <c r="A425" s="48" t="s">
        <v>578</v>
      </c>
      <c r="B425" s="48" t="s">
        <v>18</v>
      </c>
      <c r="C425" s="48">
        <v>1206000</v>
      </c>
      <c r="D425" s="48" t="s">
        <v>280</v>
      </c>
    </row>
    <row r="426" spans="1:4">
      <c r="A426" s="48" t="s">
        <v>578</v>
      </c>
      <c r="B426" s="48" t="s">
        <v>18</v>
      </c>
      <c r="C426" s="48">
        <v>1175000</v>
      </c>
      <c r="D426" s="48" t="s">
        <v>280</v>
      </c>
    </row>
    <row r="427" spans="1:4">
      <c r="A427" s="48" t="s">
        <v>578</v>
      </c>
      <c r="B427" s="48" t="s">
        <v>18</v>
      </c>
      <c r="C427" s="48">
        <v>124933</v>
      </c>
      <c r="D427" s="48" t="s">
        <v>621</v>
      </c>
    </row>
    <row r="428" spans="1:4">
      <c r="A428" s="48" t="s">
        <v>578</v>
      </c>
      <c r="B428" s="48" t="s">
        <v>18</v>
      </c>
      <c r="C428" s="48">
        <v>147420</v>
      </c>
      <c r="D428" s="48" t="s">
        <v>465</v>
      </c>
    </row>
    <row r="429" spans="1:4">
      <c r="A429" s="48" t="s">
        <v>578</v>
      </c>
      <c r="B429" s="48" t="s">
        <v>18</v>
      </c>
      <c r="C429" s="48">
        <v>912972</v>
      </c>
      <c r="D429" s="48" t="s">
        <v>478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198"/>
  <sheetViews>
    <sheetView workbookViewId="0">
      <selection activeCell="D41" sqref="D41"/>
    </sheetView>
  </sheetViews>
  <sheetFormatPr baseColWidth="10" defaultColWidth="14.5" defaultRowHeight="15.75" customHeight="1"/>
  <cols>
    <col min="1" max="1" width="50.5" customWidth="1"/>
    <col min="6" max="6" width="25" customWidth="1"/>
  </cols>
  <sheetData>
    <row r="1" spans="1:4" ht="13">
      <c r="A1" s="3" t="s">
        <v>22</v>
      </c>
      <c r="C1" s="3"/>
    </row>
    <row r="2" spans="1:4" ht="13">
      <c r="A2" s="3" t="s">
        <v>23</v>
      </c>
      <c r="C2" s="3"/>
    </row>
    <row r="3" spans="1:4" ht="13">
      <c r="A3" s="4" t="s">
        <v>597</v>
      </c>
      <c r="C3" s="3"/>
    </row>
    <row r="4" spans="1:4" ht="13">
      <c r="A4" s="5" t="s">
        <v>25</v>
      </c>
      <c r="C4" s="3"/>
    </row>
    <row r="5" spans="1:4" ht="13">
      <c r="A5" s="3"/>
      <c r="C5" s="3"/>
    </row>
    <row r="6" spans="1:4" s="52" customFormat="1" ht="16">
      <c r="A6" s="52" t="s">
        <v>26</v>
      </c>
    </row>
    <row r="7" spans="1:4" s="52" customFormat="1" ht="16">
      <c r="A7" s="52" t="s">
        <v>27</v>
      </c>
    </row>
    <row r="8" spans="1:4" ht="13">
      <c r="A8" s="6" t="s">
        <v>28</v>
      </c>
    </row>
    <row r="9" spans="1:4" ht="13">
      <c r="A9" s="3" t="s">
        <v>29</v>
      </c>
    </row>
    <row r="10" spans="1:4" ht="13">
      <c r="A10" s="3" t="s">
        <v>30</v>
      </c>
    </row>
    <row r="11" spans="1:4" ht="13">
      <c r="B11" s="3" t="s">
        <v>31</v>
      </c>
      <c r="C11" s="3" t="s">
        <v>32</v>
      </c>
      <c r="D11" s="3" t="s">
        <v>33</v>
      </c>
    </row>
    <row r="12" spans="1:4" ht="13">
      <c r="A12" s="3" t="s">
        <v>9</v>
      </c>
      <c r="B12" s="3">
        <v>20067</v>
      </c>
      <c r="C12" s="7">
        <f t="shared" ref="C12:C18" si="0">B12*20</f>
        <v>401340</v>
      </c>
      <c r="D12" s="3" t="s">
        <v>596</v>
      </c>
    </row>
    <row r="13" spans="1:4" ht="13">
      <c r="A13" s="3" t="s">
        <v>37</v>
      </c>
      <c r="B13" s="3">
        <f>5360+664</f>
        <v>6024</v>
      </c>
      <c r="C13" s="7">
        <f t="shared" si="0"/>
        <v>120480</v>
      </c>
    </row>
    <row r="14" spans="1:4" ht="13">
      <c r="A14" s="3" t="s">
        <v>39</v>
      </c>
      <c r="B14" s="3">
        <v>83</v>
      </c>
      <c r="C14" s="48">
        <f t="shared" si="0"/>
        <v>1660</v>
      </c>
    </row>
    <row r="15" spans="1:4" ht="13">
      <c r="A15" s="3" t="s">
        <v>41</v>
      </c>
      <c r="B15" s="3">
        <v>2</v>
      </c>
      <c r="C15" s="48">
        <f t="shared" si="0"/>
        <v>40</v>
      </c>
    </row>
    <row r="16" spans="1:4" ht="13">
      <c r="A16" s="3" t="s">
        <v>42</v>
      </c>
      <c r="B16" s="3">
        <v>85</v>
      </c>
      <c r="C16" s="7">
        <f t="shared" si="0"/>
        <v>1700</v>
      </c>
    </row>
    <row r="17" spans="1:4" ht="13">
      <c r="A17" s="3" t="s">
        <v>45</v>
      </c>
      <c r="B17" s="3">
        <v>245</v>
      </c>
      <c r="C17" s="7">
        <f t="shared" si="0"/>
        <v>4900</v>
      </c>
    </row>
    <row r="18" spans="1:4" ht="13">
      <c r="A18" s="3" t="s">
        <v>47</v>
      </c>
      <c r="B18" s="3">
        <v>449</v>
      </c>
      <c r="C18" s="7">
        <f t="shared" si="0"/>
        <v>8980</v>
      </c>
    </row>
    <row r="19" spans="1:4" ht="18.75" customHeight="1">
      <c r="A19" s="3"/>
      <c r="C19" s="3"/>
    </row>
    <row r="20" spans="1:4" ht="18.75" customHeight="1">
      <c r="A20" s="3" t="s">
        <v>35</v>
      </c>
      <c r="B20" s="3" t="s">
        <v>537</v>
      </c>
    </row>
    <row r="21" spans="1:4" ht="18.75" customHeight="1">
      <c r="A21" s="3" t="s">
        <v>38</v>
      </c>
      <c r="B21" s="8">
        <f>C12/1.6</f>
        <v>250837.5</v>
      </c>
    </row>
    <row r="22" spans="1:4" ht="18.75" customHeight="1">
      <c r="A22" s="3" t="s">
        <v>40</v>
      </c>
      <c r="B22" s="8">
        <f>C12/2.5</f>
        <v>160536</v>
      </c>
    </row>
    <row r="23" spans="1:4" ht="18.75" customHeight="1"/>
    <row r="24" spans="1:4" ht="18.75" customHeight="1">
      <c r="B24" s="3" t="s">
        <v>538</v>
      </c>
      <c r="C24" s="3" t="s">
        <v>539</v>
      </c>
    </row>
    <row r="25" spans="1:4" ht="18.75" customHeight="1">
      <c r="A25" s="3" t="s">
        <v>46</v>
      </c>
      <c r="B25" s="8">
        <f>B21*165</f>
        <v>41388187.5</v>
      </c>
      <c r="C25" s="7">
        <f t="shared" ref="C25:C26" si="1">B25/1000</f>
        <v>41388.1875</v>
      </c>
    </row>
    <row r="26" spans="1:4" ht="18.75" customHeight="1">
      <c r="A26" s="3" t="s">
        <v>48</v>
      </c>
      <c r="B26" s="8">
        <f>B22*400</f>
        <v>64214400</v>
      </c>
      <c r="C26" s="7">
        <f t="shared" si="1"/>
        <v>64214.400000000001</v>
      </c>
    </row>
    <row r="27" spans="1:4" ht="18.75" customHeight="1">
      <c r="A27" s="25"/>
      <c r="C27" s="25"/>
    </row>
    <row r="28" spans="1:4" s="52" customFormat="1" ht="18.75" customHeight="1">
      <c r="A28" s="52" t="s">
        <v>49</v>
      </c>
    </row>
    <row r="29" spans="1:4" s="52" customFormat="1" ht="16">
      <c r="A29" s="52" t="s">
        <v>50</v>
      </c>
    </row>
    <row r="30" spans="1:4" ht="13">
      <c r="A30" s="6" t="s">
        <v>51</v>
      </c>
    </row>
    <row r="31" spans="1:4" ht="13">
      <c r="A31" s="3" t="s">
        <v>29</v>
      </c>
    </row>
    <row r="32" spans="1:4" ht="13">
      <c r="A32" s="3" t="s">
        <v>52</v>
      </c>
      <c r="B32" s="3"/>
      <c r="C32" s="3"/>
      <c r="D32" s="3"/>
    </row>
    <row r="33" spans="1:4" ht="13">
      <c r="B33" s="3" t="s">
        <v>31</v>
      </c>
      <c r="C33" s="3" t="s">
        <v>32</v>
      </c>
      <c r="D33" s="3" t="s">
        <v>33</v>
      </c>
    </row>
    <row r="34" spans="1:4" ht="13">
      <c r="A34" s="3" t="s">
        <v>9</v>
      </c>
      <c r="B34" s="3">
        <v>22836</v>
      </c>
      <c r="C34" s="7">
        <f t="shared" ref="C34:C40" si="2">B34*20</f>
        <v>456720</v>
      </c>
      <c r="D34" s="25" t="s">
        <v>596</v>
      </c>
    </row>
    <row r="35" spans="1:4" ht="13">
      <c r="A35" s="3" t="s">
        <v>53</v>
      </c>
      <c r="B35" s="3">
        <f>5860+664</f>
        <v>6524</v>
      </c>
      <c r="C35" s="7">
        <f t="shared" si="2"/>
        <v>130480</v>
      </c>
    </row>
    <row r="36" spans="1:4" ht="13">
      <c r="A36" s="3" t="s">
        <v>39</v>
      </c>
      <c r="B36" s="3">
        <v>85</v>
      </c>
      <c r="C36" s="48">
        <f t="shared" si="2"/>
        <v>1700</v>
      </c>
    </row>
    <row r="37" spans="1:4" ht="13">
      <c r="A37" s="3" t="s">
        <v>41</v>
      </c>
      <c r="B37" s="3">
        <v>2</v>
      </c>
      <c r="C37" s="48">
        <f t="shared" si="2"/>
        <v>40</v>
      </c>
    </row>
    <row r="38" spans="1:4" ht="13">
      <c r="A38" s="3" t="s">
        <v>42</v>
      </c>
      <c r="B38" s="3">
        <v>87</v>
      </c>
      <c r="C38" s="7">
        <f t="shared" si="2"/>
        <v>1740</v>
      </c>
    </row>
    <row r="39" spans="1:4" ht="13">
      <c r="A39" s="3" t="s">
        <v>45</v>
      </c>
      <c r="B39" s="3">
        <v>254</v>
      </c>
      <c r="C39" s="7">
        <f t="shared" si="2"/>
        <v>5080</v>
      </c>
    </row>
    <row r="40" spans="1:4" ht="13">
      <c r="A40" s="3" t="s">
        <v>47</v>
      </c>
      <c r="B40" s="3">
        <v>370</v>
      </c>
      <c r="C40" s="7">
        <f t="shared" si="2"/>
        <v>7400</v>
      </c>
    </row>
    <row r="42" spans="1:4" ht="15.75" customHeight="1">
      <c r="A42" s="3" t="s">
        <v>35</v>
      </c>
      <c r="B42" s="3" t="s">
        <v>537</v>
      </c>
    </row>
    <row r="43" spans="1:4" ht="15.75" customHeight="1">
      <c r="A43" s="3" t="s">
        <v>38</v>
      </c>
      <c r="B43" s="8">
        <f>C34/1.6</f>
        <v>285450</v>
      </c>
    </row>
    <row r="44" spans="1:4" ht="15.75" customHeight="1">
      <c r="A44" s="3" t="s">
        <v>40</v>
      </c>
      <c r="B44" s="8">
        <f>C34/2.5</f>
        <v>182688</v>
      </c>
    </row>
    <row r="46" spans="1:4" ht="15.75" customHeight="1">
      <c r="B46" s="25" t="s">
        <v>538</v>
      </c>
      <c r="C46" s="25" t="s">
        <v>539</v>
      </c>
    </row>
    <row r="47" spans="1:4" ht="15.75" customHeight="1">
      <c r="A47" s="3" t="s">
        <v>46</v>
      </c>
      <c r="B47" s="8">
        <f>B43*165</f>
        <v>47099250</v>
      </c>
      <c r="C47" s="7">
        <f t="shared" ref="C47:C48" si="3">B47/1000</f>
        <v>47099.25</v>
      </c>
    </row>
    <row r="48" spans="1:4" ht="15.75" customHeight="1">
      <c r="A48" s="3" t="s">
        <v>48</v>
      </c>
      <c r="B48" s="8">
        <f>B44*400</f>
        <v>73075200</v>
      </c>
      <c r="C48" s="7">
        <f t="shared" si="3"/>
        <v>73075.199999999997</v>
      </c>
    </row>
    <row r="50" spans="1:4" s="52" customFormat="1" ht="16">
      <c r="A50" s="52" t="s">
        <v>54</v>
      </c>
    </row>
    <row r="51" spans="1:4" s="52" customFormat="1" ht="16">
      <c r="A51" s="52" t="s">
        <v>55</v>
      </c>
    </row>
    <row r="52" spans="1:4" ht="13">
      <c r="A52" s="6" t="s">
        <v>56</v>
      </c>
    </row>
    <row r="53" spans="1:4" ht="13">
      <c r="A53" s="3" t="s">
        <v>57</v>
      </c>
    </row>
    <row r="54" spans="1:4" ht="13">
      <c r="A54" s="3" t="s">
        <v>58</v>
      </c>
    </row>
    <row r="55" spans="1:4" ht="13">
      <c r="B55" s="3" t="s">
        <v>31</v>
      </c>
      <c r="C55" s="3" t="s">
        <v>32</v>
      </c>
      <c r="D55" s="3" t="s">
        <v>33</v>
      </c>
    </row>
    <row r="56" spans="1:4" ht="13">
      <c r="A56" s="3" t="s">
        <v>9</v>
      </c>
      <c r="B56" s="3">
        <v>18772</v>
      </c>
      <c r="C56" s="7">
        <f t="shared" ref="C56:C62" si="4">B56*20</f>
        <v>375440</v>
      </c>
      <c r="D56" s="3" t="s">
        <v>34</v>
      </c>
    </row>
    <row r="57" spans="1:4" ht="13">
      <c r="A57" s="3" t="s">
        <v>59</v>
      </c>
      <c r="B57" s="3">
        <v>6139</v>
      </c>
      <c r="C57" s="7">
        <f t="shared" si="4"/>
        <v>122780</v>
      </c>
    </row>
    <row r="58" spans="1:4" ht="13">
      <c r="A58" s="3" t="s">
        <v>39</v>
      </c>
      <c r="B58" s="3">
        <v>166</v>
      </c>
      <c r="C58" s="48">
        <f t="shared" si="4"/>
        <v>3320</v>
      </c>
    </row>
    <row r="59" spans="1:4" ht="13">
      <c r="A59" s="3" t="s">
        <v>41</v>
      </c>
      <c r="B59" s="3">
        <v>0</v>
      </c>
      <c r="C59" s="48">
        <f t="shared" si="4"/>
        <v>0</v>
      </c>
    </row>
    <row r="60" spans="1:4" ht="13">
      <c r="A60" s="3" t="s">
        <v>42</v>
      </c>
      <c r="B60" s="3">
        <v>166</v>
      </c>
      <c r="C60" s="7">
        <f t="shared" si="4"/>
        <v>3320</v>
      </c>
    </row>
    <row r="61" spans="1:4" ht="13">
      <c r="A61" s="3" t="s">
        <v>45</v>
      </c>
      <c r="B61" s="3">
        <v>660</v>
      </c>
      <c r="C61" s="7">
        <f t="shared" si="4"/>
        <v>13200</v>
      </c>
    </row>
    <row r="62" spans="1:4" ht="13">
      <c r="A62" s="3" t="s">
        <v>47</v>
      </c>
      <c r="B62" s="3">
        <v>479</v>
      </c>
      <c r="C62" s="7">
        <f t="shared" si="4"/>
        <v>9580</v>
      </c>
    </row>
    <row r="64" spans="1:4" ht="15.75" customHeight="1">
      <c r="A64" s="3" t="s">
        <v>35</v>
      </c>
      <c r="B64" s="3" t="s">
        <v>537</v>
      </c>
    </row>
    <row r="65" spans="1:3" ht="15.75" customHeight="1">
      <c r="A65" s="3" t="s">
        <v>38</v>
      </c>
      <c r="B65" s="8">
        <f>C56/1.6</f>
        <v>234650</v>
      </c>
    </row>
    <row r="66" spans="1:3" ht="15.75" customHeight="1">
      <c r="A66" s="3" t="s">
        <v>40</v>
      </c>
      <c r="B66" s="8">
        <f>C56/2.5</f>
        <v>150176</v>
      </c>
    </row>
    <row r="68" spans="1:3" ht="15.75" customHeight="1">
      <c r="B68" s="3" t="s">
        <v>538</v>
      </c>
      <c r="C68" s="3" t="s">
        <v>539</v>
      </c>
    </row>
    <row r="69" spans="1:3" ht="15.75" customHeight="1">
      <c r="A69" s="3" t="s">
        <v>46</v>
      </c>
      <c r="B69" s="8">
        <f>B65*165</f>
        <v>38717250</v>
      </c>
      <c r="C69" s="7">
        <f t="shared" ref="C69:C70" si="5">B69/1000</f>
        <v>38717.25</v>
      </c>
    </row>
    <row r="70" spans="1:3" ht="15.75" customHeight="1">
      <c r="A70" s="3" t="s">
        <v>48</v>
      </c>
      <c r="B70" s="8">
        <f>B66*400</f>
        <v>60070400</v>
      </c>
      <c r="C70" s="7">
        <f t="shared" si="5"/>
        <v>60070.400000000001</v>
      </c>
    </row>
    <row r="72" spans="1:3" s="52" customFormat="1" ht="16">
      <c r="A72" s="52" t="s">
        <v>60</v>
      </c>
    </row>
    <row r="73" spans="1:3" s="52" customFormat="1" ht="16">
      <c r="A73" s="52" t="s">
        <v>61</v>
      </c>
    </row>
    <row r="74" spans="1:3" ht="13">
      <c r="A74" s="6" t="s">
        <v>62</v>
      </c>
    </row>
    <row r="75" spans="1:3" ht="13">
      <c r="A75" s="3" t="s">
        <v>63</v>
      </c>
    </row>
    <row r="76" spans="1:3" ht="13">
      <c r="A76" s="3" t="s">
        <v>64</v>
      </c>
    </row>
    <row r="77" spans="1:3" ht="13">
      <c r="B77" s="3" t="s">
        <v>32</v>
      </c>
      <c r="C77" s="3" t="s">
        <v>33</v>
      </c>
    </row>
    <row r="78" spans="1:3" ht="13">
      <c r="A78" s="3" t="s">
        <v>15</v>
      </c>
      <c r="B78" s="9">
        <f>600*0.31</f>
        <v>186</v>
      </c>
      <c r="C78" s="3" t="s">
        <v>65</v>
      </c>
    </row>
    <row r="79" spans="1:3" ht="13">
      <c r="A79" s="3" t="s">
        <v>11</v>
      </c>
      <c r="B79" s="9">
        <f>600*0.02</f>
        <v>12</v>
      </c>
      <c r="C79" s="3" t="s">
        <v>66</v>
      </c>
    </row>
    <row r="81" spans="1:4" s="52" customFormat="1" ht="16">
      <c r="A81" s="52" t="s">
        <v>67</v>
      </c>
    </row>
    <row r="82" spans="1:4" s="52" customFormat="1" ht="16">
      <c r="A82" s="52" t="s">
        <v>68</v>
      </c>
    </row>
    <row r="83" spans="1:4" ht="14">
      <c r="A83" s="10" t="s">
        <v>69</v>
      </c>
    </row>
    <row r="84" spans="1:4" ht="13">
      <c r="A84" s="3" t="s">
        <v>70</v>
      </c>
    </row>
    <row r="85" spans="1:4" ht="13">
      <c r="A85" s="3" t="s">
        <v>71</v>
      </c>
    </row>
    <row r="86" spans="1:4" ht="13">
      <c r="B86" s="3" t="s">
        <v>72</v>
      </c>
      <c r="C86" s="3" t="s">
        <v>73</v>
      </c>
      <c r="D86" s="3" t="s">
        <v>33</v>
      </c>
    </row>
    <row r="87" spans="1:4" ht="13">
      <c r="A87" s="3" t="s">
        <v>39</v>
      </c>
      <c r="B87" s="4">
        <v>1850</v>
      </c>
      <c r="C87" s="4">
        <v>10000</v>
      </c>
      <c r="D87" s="3" t="s">
        <v>598</v>
      </c>
    </row>
    <row r="88" spans="1:4" ht="13">
      <c r="A88" s="3" t="s">
        <v>74</v>
      </c>
      <c r="B88" s="5">
        <v>370</v>
      </c>
      <c r="D88" s="3" t="s">
        <v>75</v>
      </c>
    </row>
    <row r="90" spans="1:4" s="52" customFormat="1" ht="16">
      <c r="A90" s="52" t="s">
        <v>76</v>
      </c>
    </row>
    <row r="91" spans="1:4" s="52" customFormat="1" ht="16">
      <c r="A91" s="52" t="s">
        <v>77</v>
      </c>
    </row>
    <row r="92" spans="1:4" ht="13">
      <c r="A92" s="11" t="s">
        <v>78</v>
      </c>
    </row>
    <row r="93" spans="1:4" ht="13">
      <c r="A93" s="3" t="s">
        <v>79</v>
      </c>
    </row>
    <row r="94" spans="1:4" ht="13">
      <c r="A94" s="3" t="s">
        <v>80</v>
      </c>
    </row>
    <row r="95" spans="1:4" ht="13">
      <c r="B95" s="3" t="s">
        <v>32</v>
      </c>
      <c r="C95" s="3" t="s">
        <v>33</v>
      </c>
    </row>
    <row r="96" spans="1:4" ht="13">
      <c r="A96" s="3" t="s">
        <v>81</v>
      </c>
      <c r="B96" s="12">
        <v>123000</v>
      </c>
    </row>
    <row r="97" spans="1:3" ht="13">
      <c r="A97" s="3" t="s">
        <v>9</v>
      </c>
      <c r="B97" s="4">
        <v>402000</v>
      </c>
    </row>
    <row r="98" spans="1:3" ht="13">
      <c r="A98" s="3" t="s">
        <v>39</v>
      </c>
      <c r="B98" s="4">
        <v>3000</v>
      </c>
      <c r="C98" s="3" t="s">
        <v>82</v>
      </c>
    </row>
    <row r="99" spans="1:3" ht="13">
      <c r="A99" s="3" t="s">
        <v>15</v>
      </c>
      <c r="B99" s="4">
        <v>216</v>
      </c>
      <c r="C99" s="3" t="s">
        <v>83</v>
      </c>
    </row>
    <row r="100" spans="1:3" ht="13">
      <c r="A100" s="3" t="s">
        <v>21</v>
      </c>
      <c r="B100" s="4">
        <v>6800</v>
      </c>
    </row>
    <row r="102" spans="1:3" ht="15.75" customHeight="1">
      <c r="A102" s="3" t="s">
        <v>35</v>
      </c>
      <c r="B102" s="3" t="s">
        <v>36</v>
      </c>
    </row>
    <row r="103" spans="1:3" ht="15.75" customHeight="1">
      <c r="A103" s="3" t="s">
        <v>38</v>
      </c>
      <c r="B103" s="8">
        <f>B97/1.6</f>
        <v>251250</v>
      </c>
    </row>
    <row r="104" spans="1:3" ht="15.75" customHeight="1">
      <c r="A104" s="3" t="s">
        <v>40</v>
      </c>
      <c r="B104" s="8">
        <f>B97/2.5</f>
        <v>160800</v>
      </c>
    </row>
    <row r="106" spans="1:3" ht="15.75" customHeight="1">
      <c r="B106" s="25" t="s">
        <v>538</v>
      </c>
      <c r="C106" s="25" t="s">
        <v>539</v>
      </c>
    </row>
    <row r="107" spans="1:3" ht="15.75" customHeight="1">
      <c r="A107" s="3" t="s">
        <v>46</v>
      </c>
      <c r="B107" s="8">
        <f>B103*165</f>
        <v>41456250</v>
      </c>
      <c r="C107" s="7">
        <f t="shared" ref="C107:C108" si="6">B107/1000</f>
        <v>41456.25</v>
      </c>
    </row>
    <row r="108" spans="1:3" ht="15.75" customHeight="1">
      <c r="A108" s="3" t="s">
        <v>48</v>
      </c>
      <c r="B108" s="8">
        <f>B104*400</f>
        <v>64320000</v>
      </c>
      <c r="C108" s="7">
        <f t="shared" si="6"/>
        <v>64320</v>
      </c>
    </row>
    <row r="109" spans="1:3" ht="15.75" customHeight="1">
      <c r="A109" s="25"/>
      <c r="B109" s="8"/>
      <c r="C109" s="48"/>
    </row>
    <row r="110" spans="1:3" s="52" customFormat="1" ht="16">
      <c r="A110" s="52" t="s">
        <v>84</v>
      </c>
    </row>
    <row r="111" spans="1:3" s="52" customFormat="1" ht="16">
      <c r="A111" s="52" t="s">
        <v>85</v>
      </c>
    </row>
    <row r="112" spans="1:3" ht="13">
      <c r="A112" s="3" t="s">
        <v>86</v>
      </c>
    </row>
    <row r="113" spans="1:4" ht="13">
      <c r="A113" s="3" t="s">
        <v>80</v>
      </c>
    </row>
    <row r="114" spans="1:4" ht="13">
      <c r="B114" s="3" t="s">
        <v>32</v>
      </c>
      <c r="C114" s="3" t="s">
        <v>33</v>
      </c>
    </row>
    <row r="115" spans="1:4" ht="13">
      <c r="A115" s="3" t="s">
        <v>15</v>
      </c>
      <c r="B115" s="4">
        <v>198</v>
      </c>
      <c r="C115" s="3" t="s">
        <v>599</v>
      </c>
    </row>
    <row r="116" spans="1:4" ht="13">
      <c r="A116" s="3" t="s">
        <v>11</v>
      </c>
      <c r="B116" s="4">
        <v>28</v>
      </c>
    </row>
    <row r="118" spans="1:4" s="52" customFormat="1" ht="16">
      <c r="A118" s="52" t="s">
        <v>87</v>
      </c>
    </row>
    <row r="119" spans="1:4" s="52" customFormat="1" ht="16">
      <c r="A119" s="52" t="s">
        <v>88</v>
      </c>
    </row>
    <row r="120" spans="1:4" ht="13">
      <c r="A120" s="11" t="s">
        <v>89</v>
      </c>
    </row>
    <row r="121" spans="1:4" ht="13">
      <c r="A121" s="3" t="s">
        <v>90</v>
      </c>
    </row>
    <row r="122" spans="1:4" ht="13">
      <c r="A122" s="3" t="s">
        <v>91</v>
      </c>
    </row>
    <row r="123" spans="1:4" ht="13">
      <c r="A123" s="3" t="s">
        <v>80</v>
      </c>
    </row>
    <row r="124" spans="1:4" ht="13">
      <c r="A124" s="3" t="s">
        <v>32</v>
      </c>
      <c r="B124" s="3" t="s">
        <v>92</v>
      </c>
      <c r="C124" s="3" t="s">
        <v>93</v>
      </c>
      <c r="D124" s="3" t="s">
        <v>33</v>
      </c>
    </row>
    <row r="125" spans="1:4" ht="13">
      <c r="A125" s="3" t="s">
        <v>10</v>
      </c>
      <c r="B125" s="9">
        <v>4700</v>
      </c>
      <c r="C125" s="9">
        <v>4982</v>
      </c>
      <c r="D125" s="3" t="s">
        <v>90</v>
      </c>
    </row>
    <row r="127" spans="1:4" s="52" customFormat="1" ht="16">
      <c r="A127" s="52" t="s">
        <v>94</v>
      </c>
    </row>
    <row r="128" spans="1:4" s="52" customFormat="1" ht="16">
      <c r="A128" s="52" t="s">
        <v>95</v>
      </c>
    </row>
    <row r="129" spans="1:7" ht="13">
      <c r="A129" s="3" t="s">
        <v>96</v>
      </c>
    </row>
    <row r="130" spans="1:7" ht="13">
      <c r="A130" s="3" t="s">
        <v>97</v>
      </c>
    </row>
    <row r="131" spans="1:7" ht="13">
      <c r="A131" s="3" t="s">
        <v>98</v>
      </c>
    </row>
    <row r="132" spans="1:7" ht="13">
      <c r="A132" s="3" t="s">
        <v>99</v>
      </c>
      <c r="B132" s="3" t="s">
        <v>100</v>
      </c>
      <c r="C132" s="3" t="s">
        <v>101</v>
      </c>
      <c r="D132" s="3" t="s">
        <v>102</v>
      </c>
      <c r="E132" s="3" t="s">
        <v>103</v>
      </c>
      <c r="F132" s="3" t="s">
        <v>104</v>
      </c>
      <c r="G132" s="3" t="s">
        <v>33</v>
      </c>
    </row>
    <row r="133" spans="1:7" ht="13">
      <c r="A133" s="3" t="s">
        <v>10</v>
      </c>
      <c r="B133" s="4">
        <v>5761</v>
      </c>
      <c r="C133" s="4">
        <v>2994</v>
      </c>
      <c r="D133" s="4">
        <v>6759</v>
      </c>
      <c r="E133" s="4">
        <v>2540</v>
      </c>
      <c r="F133" s="4">
        <v>3538</v>
      </c>
    </row>
    <row r="134" spans="1:7" ht="13">
      <c r="A134" s="3"/>
      <c r="B134" s="3"/>
      <c r="D134" s="3"/>
      <c r="E134" s="3"/>
      <c r="F134" s="3"/>
    </row>
    <row r="135" spans="1:7" s="52" customFormat="1" ht="16">
      <c r="A135" s="52" t="s">
        <v>105</v>
      </c>
    </row>
    <row r="136" spans="1:7" ht="13">
      <c r="A136" s="3" t="s">
        <v>106</v>
      </c>
      <c r="B136" s="3" t="s">
        <v>107</v>
      </c>
      <c r="C136" s="3" t="s">
        <v>33</v>
      </c>
    </row>
    <row r="137" spans="1:7" ht="16">
      <c r="A137" s="3" t="s">
        <v>10</v>
      </c>
      <c r="B137" s="50">
        <v>9580</v>
      </c>
      <c r="C137" s="3" t="s">
        <v>108</v>
      </c>
    </row>
    <row r="139" spans="1:7" s="52" customFormat="1" ht="16">
      <c r="A139" s="52" t="s">
        <v>109</v>
      </c>
    </row>
    <row r="140" spans="1:7" s="52" customFormat="1" ht="16">
      <c r="A140" s="52" t="s">
        <v>110</v>
      </c>
    </row>
    <row r="141" spans="1:7" ht="13">
      <c r="A141" s="6" t="s">
        <v>111</v>
      </c>
    </row>
    <row r="142" spans="1:7" ht="13">
      <c r="A142" s="3" t="s">
        <v>112</v>
      </c>
    </row>
    <row r="143" spans="1:7" ht="13">
      <c r="B143" s="3" t="s">
        <v>113</v>
      </c>
      <c r="C143" s="3" t="s">
        <v>114</v>
      </c>
      <c r="D143" s="3" t="s">
        <v>33</v>
      </c>
      <c r="E143" s="3" t="s">
        <v>115</v>
      </c>
    </row>
    <row r="144" spans="1:7" ht="16">
      <c r="A144" s="1" t="s">
        <v>10</v>
      </c>
      <c r="B144" s="5">
        <v>1012</v>
      </c>
      <c r="C144" s="5">
        <v>1484</v>
      </c>
      <c r="D144" s="3" t="s">
        <v>116</v>
      </c>
    </row>
    <row r="145" spans="1:11" ht="16">
      <c r="A145" s="1" t="s">
        <v>11</v>
      </c>
      <c r="B145" s="5">
        <v>1</v>
      </c>
      <c r="C145" s="5">
        <v>22</v>
      </c>
      <c r="D145" s="3" t="s">
        <v>117</v>
      </c>
    </row>
    <row r="146" spans="1:11" ht="16">
      <c r="A146" s="1" t="s">
        <v>15</v>
      </c>
      <c r="B146" s="5">
        <v>6</v>
      </c>
      <c r="C146" s="5">
        <v>151</v>
      </c>
      <c r="D146" s="3" t="s">
        <v>117</v>
      </c>
    </row>
    <row r="147" spans="1:11" ht="16">
      <c r="A147" s="1" t="s">
        <v>16</v>
      </c>
      <c r="B147" s="4">
        <v>377</v>
      </c>
      <c r="C147" s="4">
        <v>377</v>
      </c>
    </row>
    <row r="148" spans="1:11" ht="16">
      <c r="A148" s="1"/>
    </row>
    <row r="149" spans="1:11" s="52" customFormat="1" ht="16">
      <c r="A149" s="52" t="s">
        <v>118</v>
      </c>
    </row>
    <row r="150" spans="1:11" s="52" customFormat="1" ht="16">
      <c r="A150" s="52" t="s">
        <v>119</v>
      </c>
    </row>
    <row r="151" spans="1:11" ht="13">
      <c r="A151" s="6" t="s">
        <v>120</v>
      </c>
    </row>
    <row r="152" spans="1:11" ht="13">
      <c r="A152" s="3" t="s">
        <v>122</v>
      </c>
      <c r="B152" s="3"/>
      <c r="C152" s="3"/>
      <c r="D152" s="3"/>
      <c r="E152" s="3"/>
      <c r="F152" s="3"/>
      <c r="G152" s="3" t="s">
        <v>123</v>
      </c>
    </row>
    <row r="153" spans="1:11" ht="13">
      <c r="A153" s="3" t="s">
        <v>600</v>
      </c>
      <c r="B153" s="3" t="s">
        <v>124</v>
      </c>
      <c r="C153" s="3" t="s">
        <v>125</v>
      </c>
      <c r="D153" s="3" t="s">
        <v>126</v>
      </c>
      <c r="E153" s="3" t="s">
        <v>127</v>
      </c>
      <c r="F153" s="3" t="s">
        <v>33</v>
      </c>
      <c r="G153" s="3" t="s">
        <v>128</v>
      </c>
      <c r="H153" s="3" t="s">
        <v>129</v>
      </c>
      <c r="I153" s="3" t="s">
        <v>129</v>
      </c>
      <c r="J153" s="3" t="s">
        <v>130</v>
      </c>
    </row>
    <row r="154" spans="1:11" ht="13">
      <c r="A154" s="3" t="s">
        <v>131</v>
      </c>
      <c r="B154" s="48">
        <v>11650</v>
      </c>
      <c r="C154" s="48">
        <v>13417</v>
      </c>
      <c r="D154" s="48">
        <v>13417</v>
      </c>
      <c r="E154" s="48">
        <v>52754</v>
      </c>
      <c r="F154" s="3"/>
      <c r="G154" s="13">
        <f t="shared" ref="G154:G163" si="7">B154*(1000/2)/1000</f>
        <v>5825</v>
      </c>
      <c r="H154" s="13">
        <f t="shared" ref="H154:I154" si="8">C154/2.3</f>
        <v>5833.4782608695659</v>
      </c>
      <c r="I154" s="13">
        <f t="shared" si="8"/>
        <v>5833.4782608695659</v>
      </c>
      <c r="J154" s="13">
        <f t="shared" ref="J154:J163" si="9">E154/5</f>
        <v>10550.8</v>
      </c>
      <c r="K154" s="3" t="s">
        <v>131</v>
      </c>
    </row>
    <row r="155" spans="1:11" ht="13">
      <c r="A155" s="3" t="s">
        <v>132</v>
      </c>
      <c r="B155" s="48">
        <v>8500</v>
      </c>
      <c r="C155" s="48">
        <v>0</v>
      </c>
      <c r="D155" s="48">
        <v>0</v>
      </c>
      <c r="E155" s="48">
        <v>0</v>
      </c>
      <c r="F155" s="3"/>
      <c r="G155" s="13">
        <f t="shared" si="7"/>
        <v>4250</v>
      </c>
      <c r="H155" s="13">
        <f t="shared" ref="H155:I155" si="10">C155/2.3</f>
        <v>0</v>
      </c>
      <c r="I155" s="13">
        <f t="shared" si="10"/>
        <v>0</v>
      </c>
      <c r="J155" s="13">
        <f t="shared" si="9"/>
        <v>0</v>
      </c>
    </row>
    <row r="156" spans="1:11" ht="13">
      <c r="A156" s="3" t="s">
        <v>133</v>
      </c>
      <c r="B156" s="48">
        <v>26366</v>
      </c>
      <c r="C156" s="48">
        <v>68663</v>
      </c>
      <c r="D156" s="48">
        <v>68663</v>
      </c>
      <c r="E156" s="48">
        <v>990401</v>
      </c>
      <c r="F156" s="3"/>
      <c r="G156" s="13">
        <f t="shared" si="7"/>
        <v>13183</v>
      </c>
      <c r="H156" s="13">
        <f t="shared" ref="H156:I156" si="11">C156/2.3</f>
        <v>29853.478260869568</v>
      </c>
      <c r="I156" s="13">
        <f t="shared" si="11"/>
        <v>29853.478260869568</v>
      </c>
      <c r="J156" s="13">
        <f t="shared" si="9"/>
        <v>198080.2</v>
      </c>
    </row>
    <row r="157" spans="1:11" ht="13">
      <c r="A157" s="3" t="s">
        <v>134</v>
      </c>
      <c r="B157" s="3">
        <v>5400</v>
      </c>
      <c r="C157" s="3">
        <v>1077</v>
      </c>
      <c r="D157" s="3">
        <v>1077</v>
      </c>
      <c r="E157" s="3">
        <v>0</v>
      </c>
      <c r="F157" s="3" t="s">
        <v>135</v>
      </c>
      <c r="G157" s="8">
        <f t="shared" si="7"/>
        <v>2700</v>
      </c>
      <c r="H157" s="8">
        <f t="shared" ref="H157:I157" si="12">C157/2.3</f>
        <v>468.26086956521743</v>
      </c>
      <c r="I157" s="8">
        <f t="shared" si="12"/>
        <v>468.26086956521743</v>
      </c>
      <c r="J157" s="8">
        <f t="shared" si="9"/>
        <v>0</v>
      </c>
    </row>
    <row r="158" spans="1:11" ht="13">
      <c r="A158" s="3" t="s">
        <v>136</v>
      </c>
      <c r="B158" s="3">
        <v>24082</v>
      </c>
      <c r="C158" s="3">
        <v>50539</v>
      </c>
      <c r="D158" s="3">
        <v>50539</v>
      </c>
      <c r="E158" s="3">
        <v>156091</v>
      </c>
      <c r="G158" s="8">
        <f t="shared" si="7"/>
        <v>12041</v>
      </c>
      <c r="H158" s="8">
        <f t="shared" ref="H158:I158" si="13">C158/2.3</f>
        <v>21973.478260869568</v>
      </c>
      <c r="I158" s="8">
        <f t="shared" si="13"/>
        <v>21973.478260869568</v>
      </c>
      <c r="J158" s="8">
        <f t="shared" si="9"/>
        <v>31218.2</v>
      </c>
    </row>
    <row r="159" spans="1:11" ht="13">
      <c r="A159" s="3" t="s">
        <v>137</v>
      </c>
      <c r="B159" s="3">
        <v>1583</v>
      </c>
      <c r="C159" s="3">
        <v>10029</v>
      </c>
      <c r="D159" s="3">
        <v>10029</v>
      </c>
      <c r="E159" s="3">
        <v>43715</v>
      </c>
      <c r="G159" s="8">
        <f t="shared" si="7"/>
        <v>791.5</v>
      </c>
      <c r="H159" s="8">
        <f t="shared" ref="H159:I159" si="14">C159/2.3</f>
        <v>4360.434782608696</v>
      </c>
      <c r="I159" s="8">
        <f t="shared" si="14"/>
        <v>4360.434782608696</v>
      </c>
      <c r="J159" s="8">
        <f t="shared" si="9"/>
        <v>8743</v>
      </c>
      <c r="K159" s="3" t="s">
        <v>10</v>
      </c>
    </row>
    <row r="160" spans="1:11" ht="13">
      <c r="A160" s="3" t="s">
        <v>138</v>
      </c>
      <c r="B160" s="3">
        <v>1271</v>
      </c>
      <c r="C160" s="3">
        <v>1228</v>
      </c>
      <c r="D160" s="3">
        <v>1228</v>
      </c>
      <c r="E160" s="3">
        <v>961</v>
      </c>
      <c r="G160" s="8">
        <f t="shared" si="7"/>
        <v>635.5</v>
      </c>
      <c r="H160" s="8">
        <f t="shared" ref="H160:I160" si="15">C160/2.3</f>
        <v>533.91304347826087</v>
      </c>
      <c r="I160" s="8">
        <f t="shared" si="15"/>
        <v>533.91304347826087</v>
      </c>
      <c r="J160" s="8">
        <f t="shared" si="9"/>
        <v>192.2</v>
      </c>
      <c r="K160" s="3" t="s">
        <v>6</v>
      </c>
    </row>
    <row r="161" spans="1:15" ht="16">
      <c r="A161" s="2" t="s">
        <v>139</v>
      </c>
      <c r="B161" s="3">
        <v>165000</v>
      </c>
      <c r="C161" s="3">
        <v>1123095</v>
      </c>
      <c r="D161" s="3">
        <v>1123095</v>
      </c>
      <c r="E161" s="3">
        <v>347460</v>
      </c>
      <c r="G161" s="8">
        <f t="shared" si="7"/>
        <v>82500</v>
      </c>
      <c r="H161" s="8">
        <f t="shared" ref="H161:I161" si="16">C161/2.3</f>
        <v>488302.17391304352</v>
      </c>
      <c r="I161" s="8">
        <f t="shared" si="16"/>
        <v>488302.17391304352</v>
      </c>
      <c r="J161" s="8">
        <f t="shared" si="9"/>
        <v>69492</v>
      </c>
    </row>
    <row r="162" spans="1:15" ht="16">
      <c r="A162" s="2" t="s">
        <v>140</v>
      </c>
      <c r="B162" s="3">
        <v>62551</v>
      </c>
      <c r="C162" s="3">
        <v>600000</v>
      </c>
      <c r="D162" s="3">
        <v>862500</v>
      </c>
      <c r="E162" s="3">
        <v>1150000</v>
      </c>
      <c r="G162" s="8">
        <f t="shared" si="7"/>
        <v>31275.5</v>
      </c>
      <c r="H162" s="8">
        <f t="shared" ref="H162:I162" si="17">C162/2.3</f>
        <v>260869.56521739133</v>
      </c>
      <c r="I162" s="8">
        <f t="shared" si="17"/>
        <v>375000</v>
      </c>
      <c r="J162" s="8">
        <f t="shared" si="9"/>
        <v>230000</v>
      </c>
    </row>
    <row r="163" spans="1:15" ht="16">
      <c r="A163" s="2" t="s">
        <v>141</v>
      </c>
      <c r="B163" s="3">
        <v>0</v>
      </c>
      <c r="C163" s="3">
        <v>0</v>
      </c>
      <c r="D163" s="3">
        <v>0</v>
      </c>
      <c r="E163" s="3">
        <v>0</v>
      </c>
      <c r="G163" s="8">
        <f t="shared" si="7"/>
        <v>0</v>
      </c>
      <c r="H163" s="8">
        <f t="shared" ref="H163:I163" si="18">C163/2.3</f>
        <v>0</v>
      </c>
      <c r="I163" s="8">
        <f t="shared" si="18"/>
        <v>0</v>
      </c>
      <c r="J163" s="8">
        <f t="shared" si="9"/>
        <v>0</v>
      </c>
    </row>
    <row r="164" spans="1:15" ht="16">
      <c r="A164" s="1"/>
      <c r="F164" s="3" t="s">
        <v>142</v>
      </c>
      <c r="G164" s="8">
        <f>SUM(G157:G158,G161:G162,G155:G156)</f>
        <v>145949.5</v>
      </c>
      <c r="H164" s="8">
        <f t="shared" ref="H164:J164" si="19">SUM(H157:H158,H161:H162,H155:H156)</f>
        <v>801466.95652173925</v>
      </c>
      <c r="I164" s="8">
        <f t="shared" si="19"/>
        <v>915597.3913043479</v>
      </c>
      <c r="J164" s="8">
        <f t="shared" si="19"/>
        <v>528790.4</v>
      </c>
      <c r="K164" s="3" t="s">
        <v>18</v>
      </c>
    </row>
    <row r="165" spans="1:15" ht="16">
      <c r="A165" s="30"/>
      <c r="F165" s="25"/>
      <c r="G165" s="8"/>
      <c r="H165" s="8"/>
      <c r="I165" s="8"/>
      <c r="J165" s="8"/>
      <c r="K165" s="25"/>
      <c r="L165" s="48"/>
      <c r="M165" s="48"/>
      <c r="N165" s="48"/>
      <c r="O165" s="48"/>
    </row>
    <row r="166" spans="1:15" ht="16">
      <c r="A166" s="30"/>
      <c r="B166" s="3" t="s">
        <v>121</v>
      </c>
      <c r="F166" s="25"/>
      <c r="G166" s="8"/>
      <c r="H166" s="8"/>
      <c r="I166" s="8"/>
      <c r="J166" s="8"/>
      <c r="K166" s="25"/>
      <c r="L166" s="48"/>
      <c r="M166" s="48"/>
      <c r="N166" s="48"/>
      <c r="O166" s="48"/>
    </row>
    <row r="167" spans="1:15" ht="16">
      <c r="A167" s="30"/>
      <c r="B167" s="3" t="s">
        <v>601</v>
      </c>
      <c r="F167" s="25"/>
      <c r="G167" s="8"/>
      <c r="H167" s="8"/>
      <c r="I167" s="8"/>
      <c r="J167" s="8"/>
      <c r="K167" s="25"/>
      <c r="L167" s="48"/>
      <c r="M167" s="48"/>
      <c r="N167" s="48"/>
      <c r="O167" s="48"/>
    </row>
    <row r="168" spans="1:15" ht="16">
      <c r="A168" s="30"/>
      <c r="B168" s="3" t="s">
        <v>128</v>
      </c>
      <c r="C168" s="3" t="s">
        <v>129</v>
      </c>
      <c r="D168" s="3" t="s">
        <v>129</v>
      </c>
      <c r="E168" s="3" t="s">
        <v>130</v>
      </c>
      <c r="F168" s="25"/>
      <c r="G168" s="8"/>
      <c r="H168" s="8"/>
      <c r="I168" s="8"/>
      <c r="J168" s="8"/>
      <c r="K168" s="25"/>
      <c r="L168" s="48"/>
      <c r="M168" s="48"/>
      <c r="N168" s="48"/>
      <c r="O168" s="48"/>
    </row>
    <row r="169" spans="1:15" ht="13">
      <c r="A169" s="25" t="s">
        <v>131</v>
      </c>
      <c r="B169" s="7">
        <v>5825</v>
      </c>
      <c r="C169" s="4">
        <v>5833</v>
      </c>
      <c r="D169" s="4">
        <v>5833</v>
      </c>
      <c r="E169" s="4">
        <v>10551</v>
      </c>
      <c r="F169" s="25"/>
      <c r="G169" s="8"/>
      <c r="H169" s="8"/>
      <c r="I169" s="8"/>
      <c r="J169" s="8"/>
      <c r="K169" s="25"/>
      <c r="L169" s="48"/>
      <c r="M169" s="48"/>
      <c r="N169" s="48"/>
      <c r="O169" s="48"/>
    </row>
    <row r="170" spans="1:15" ht="13">
      <c r="A170" s="25" t="s">
        <v>132</v>
      </c>
      <c r="F170" s="25"/>
      <c r="G170" s="8"/>
      <c r="H170" s="8"/>
      <c r="I170" s="8"/>
      <c r="J170" s="8"/>
      <c r="K170" s="25"/>
      <c r="L170" s="48"/>
      <c r="M170" s="48"/>
      <c r="N170" s="48"/>
      <c r="O170" s="48"/>
    </row>
    <row r="171" spans="1:15" ht="13">
      <c r="A171" s="25" t="s">
        <v>133</v>
      </c>
      <c r="F171" s="25"/>
      <c r="G171" s="8"/>
      <c r="H171" s="8"/>
      <c r="I171" s="8"/>
      <c r="J171" s="8"/>
      <c r="K171" s="25"/>
      <c r="L171" s="48"/>
      <c r="M171" s="48"/>
      <c r="N171" s="48"/>
      <c r="O171" s="48"/>
    </row>
    <row r="172" spans="1:15" ht="13">
      <c r="A172" s="25" t="s">
        <v>134</v>
      </c>
      <c r="F172" s="25"/>
      <c r="G172" s="8"/>
      <c r="H172" s="8"/>
      <c r="I172" s="8"/>
      <c r="J172" s="8"/>
      <c r="K172" s="25"/>
      <c r="L172" s="48"/>
      <c r="M172" s="48"/>
      <c r="N172" s="48"/>
      <c r="O172" s="48"/>
    </row>
    <row r="173" spans="1:15" ht="13">
      <c r="A173" s="25" t="s">
        <v>136</v>
      </c>
      <c r="F173" s="25"/>
      <c r="G173" s="8"/>
      <c r="H173" s="8"/>
      <c r="I173" s="8"/>
      <c r="J173" s="8"/>
      <c r="K173" s="25"/>
      <c r="L173" s="48"/>
      <c r="M173" s="48"/>
      <c r="N173" s="48"/>
      <c r="O173" s="48"/>
    </row>
    <row r="174" spans="1:15" ht="13">
      <c r="A174" s="25" t="s">
        <v>137</v>
      </c>
      <c r="B174" s="7">
        <f>G159+858</f>
        <v>1649.5</v>
      </c>
      <c r="C174" s="7">
        <f>H159+858</f>
        <v>5218.434782608696</v>
      </c>
      <c r="D174" s="7">
        <f>I159+858</f>
        <v>5218.434782608696</v>
      </c>
      <c r="E174" s="7">
        <f>J159+858</f>
        <v>9601</v>
      </c>
      <c r="F174" s="25"/>
      <c r="G174" s="8"/>
      <c r="H174" s="8"/>
      <c r="I174" s="8"/>
      <c r="J174" s="8"/>
      <c r="K174" s="25"/>
      <c r="L174" s="48"/>
      <c r="M174" s="48"/>
      <c r="N174" s="48"/>
      <c r="O174" s="48"/>
    </row>
    <row r="175" spans="1:15" ht="13">
      <c r="A175" s="25" t="s">
        <v>138</v>
      </c>
      <c r="B175" s="7">
        <f>G160+364</f>
        <v>999.5</v>
      </c>
      <c r="C175" s="7">
        <f>H160+364</f>
        <v>897.91304347826087</v>
      </c>
      <c r="D175" s="7">
        <f>I160+364</f>
        <v>897.91304347826087</v>
      </c>
      <c r="E175" s="7">
        <f>J160+364</f>
        <v>556.20000000000005</v>
      </c>
      <c r="F175" s="25"/>
      <c r="G175" s="8"/>
      <c r="H175" s="8"/>
      <c r="I175" s="8"/>
      <c r="J175" s="8"/>
      <c r="K175" s="25"/>
      <c r="L175" s="48"/>
      <c r="M175" s="48"/>
      <c r="N175" s="48"/>
      <c r="O175" s="48"/>
    </row>
    <row r="176" spans="1:15" ht="16">
      <c r="A176" s="24" t="s">
        <v>139</v>
      </c>
      <c r="F176" s="25"/>
      <c r="G176" s="8"/>
      <c r="H176" s="8"/>
      <c r="I176" s="8"/>
      <c r="J176" s="8"/>
      <c r="K176" s="25"/>
      <c r="L176" s="48"/>
      <c r="M176" s="48"/>
      <c r="N176" s="48"/>
      <c r="O176" s="48"/>
    </row>
    <row r="177" spans="1:15" ht="16">
      <c r="A177" s="24" t="s">
        <v>140</v>
      </c>
      <c r="F177" s="25"/>
      <c r="G177" s="8"/>
      <c r="H177" s="8"/>
      <c r="I177" s="8"/>
      <c r="J177" s="8"/>
      <c r="K177" s="25"/>
      <c r="L177" s="48"/>
      <c r="M177" s="48"/>
      <c r="N177" s="48"/>
      <c r="O177" s="48"/>
    </row>
    <row r="178" spans="1:15" ht="16">
      <c r="A178" s="24" t="s">
        <v>141</v>
      </c>
      <c r="F178" s="25"/>
      <c r="G178" s="8"/>
      <c r="H178" s="8"/>
      <c r="I178" s="8"/>
      <c r="J178" s="8"/>
      <c r="K178" s="25"/>
      <c r="L178" s="48"/>
      <c r="M178" s="48"/>
      <c r="N178" s="48"/>
      <c r="O178" s="48"/>
    </row>
    <row r="179" spans="1:15" ht="13">
      <c r="A179" s="25" t="s">
        <v>142</v>
      </c>
      <c r="B179" s="7">
        <f>G164+1627</f>
        <v>147576.5</v>
      </c>
      <c r="C179" s="7">
        <f>H164+1627</f>
        <v>803093.95652173925</v>
      </c>
      <c r="D179" s="7">
        <f>I164+1627</f>
        <v>917224.3913043479</v>
      </c>
      <c r="E179" s="7">
        <f>J164+1627</f>
        <v>530417.4</v>
      </c>
      <c r="F179" s="25"/>
      <c r="G179" s="8"/>
      <c r="H179" s="8"/>
      <c r="I179" s="8"/>
      <c r="J179" s="8"/>
      <c r="K179" s="25"/>
      <c r="L179" s="48"/>
      <c r="M179" s="48"/>
      <c r="N179" s="48"/>
      <c r="O179" s="48"/>
    </row>
    <row r="180" spans="1:15" ht="16">
      <c r="A180" s="30"/>
      <c r="F180" s="25"/>
      <c r="G180" s="8"/>
      <c r="H180" s="8"/>
      <c r="I180" s="8"/>
      <c r="J180" s="8"/>
      <c r="K180" s="25"/>
      <c r="L180" s="48"/>
      <c r="M180" s="48"/>
      <c r="N180" s="48"/>
      <c r="O180" s="48"/>
    </row>
    <row r="181" spans="1:15" s="52" customFormat="1" ht="16">
      <c r="A181" s="52" t="s">
        <v>595</v>
      </c>
    </row>
    <row r="182" spans="1:15" s="52" customFormat="1" ht="16">
      <c r="A182" s="52" t="s">
        <v>148</v>
      </c>
    </row>
    <row r="183" spans="1:15" ht="13">
      <c r="A183" s="6" t="s">
        <v>149</v>
      </c>
    </row>
    <row r="184" spans="1:15" ht="13">
      <c r="A184" s="3" t="s">
        <v>150</v>
      </c>
    </row>
    <row r="185" spans="1:15" ht="13">
      <c r="A185" s="3" t="s">
        <v>143</v>
      </c>
      <c r="B185" s="3" t="s">
        <v>144</v>
      </c>
      <c r="C185" s="3" t="s">
        <v>145</v>
      </c>
      <c r="D185" s="3" t="s">
        <v>33</v>
      </c>
      <c r="E185" s="3" t="s">
        <v>146</v>
      </c>
      <c r="F185" s="3" t="s">
        <v>147</v>
      </c>
    </row>
    <row r="186" spans="1:15" ht="13">
      <c r="A186" s="3" t="s">
        <v>151</v>
      </c>
      <c r="B186" s="8">
        <f>349240+13331+20688</f>
        <v>383259</v>
      </c>
      <c r="C186" s="8">
        <f>1488186+8000+131000</f>
        <v>1627186</v>
      </c>
      <c r="D186" s="3" t="s">
        <v>152</v>
      </c>
      <c r="E186" s="8">
        <f t="shared" ref="E186:E190" si="20">B186*(1000/2)+C186</f>
        <v>193256686</v>
      </c>
      <c r="F186" s="7">
        <f t="shared" ref="F186:F190" si="21">E186/1000</f>
        <v>193256.68599999999</v>
      </c>
    </row>
    <row r="187" spans="1:15" ht="13">
      <c r="A187" s="3" t="s">
        <v>10</v>
      </c>
      <c r="B187" s="3">
        <v>2958</v>
      </c>
      <c r="C187" s="3">
        <v>858237</v>
      </c>
      <c r="E187" s="8">
        <f t="shared" si="20"/>
        <v>2337237</v>
      </c>
      <c r="F187" s="7">
        <f t="shared" si="21"/>
        <v>2337.2370000000001</v>
      </c>
    </row>
    <row r="188" spans="1:15" ht="13">
      <c r="A188" s="3" t="s">
        <v>6</v>
      </c>
      <c r="B188" s="3">
        <v>3545</v>
      </c>
      <c r="C188" s="3">
        <v>364450</v>
      </c>
      <c r="E188" s="8">
        <f t="shared" si="20"/>
        <v>2136950</v>
      </c>
      <c r="F188" s="7">
        <f t="shared" si="21"/>
        <v>2136.9499999999998</v>
      </c>
    </row>
    <row r="189" spans="1:15" ht="13">
      <c r="A189" s="3" t="s">
        <v>9</v>
      </c>
      <c r="B189" s="3">
        <v>0</v>
      </c>
      <c r="C189" s="3">
        <v>1375000</v>
      </c>
      <c r="E189" s="8">
        <f t="shared" si="20"/>
        <v>1375000</v>
      </c>
      <c r="F189" s="7">
        <f t="shared" si="21"/>
        <v>1375</v>
      </c>
    </row>
    <row r="190" spans="1:15" ht="13">
      <c r="A190" s="3" t="s">
        <v>153</v>
      </c>
      <c r="B190" s="3">
        <v>21842</v>
      </c>
      <c r="E190" s="8">
        <f t="shared" si="20"/>
        <v>10921000</v>
      </c>
      <c r="F190" s="7">
        <f t="shared" si="21"/>
        <v>10921</v>
      </c>
    </row>
    <row r="191" spans="1:15" ht="13"/>
    <row r="192" spans="1:15" ht="15.75" customHeight="1">
      <c r="A192" s="3" t="s">
        <v>35</v>
      </c>
      <c r="B192" s="3" t="s">
        <v>537</v>
      </c>
    </row>
    <row r="193" spans="1:3" ht="15.75" customHeight="1">
      <c r="A193" s="3" t="s">
        <v>38</v>
      </c>
      <c r="B193" s="8">
        <f>F189/1.6</f>
        <v>859.375</v>
      </c>
    </row>
    <row r="194" spans="1:3" ht="15.75" customHeight="1">
      <c r="A194" s="3" t="s">
        <v>40</v>
      </c>
      <c r="B194" s="8">
        <f>F189/2.5</f>
        <v>550</v>
      </c>
    </row>
    <row r="196" spans="1:3" ht="15.75" customHeight="1">
      <c r="B196" s="25" t="s">
        <v>538</v>
      </c>
      <c r="C196" s="25" t="s">
        <v>539</v>
      </c>
    </row>
    <row r="197" spans="1:3" ht="15.75" customHeight="1">
      <c r="A197" s="3" t="s">
        <v>46</v>
      </c>
      <c r="B197" s="8">
        <f>B193*165</f>
        <v>141796.875</v>
      </c>
      <c r="C197" s="7">
        <f t="shared" ref="C197:C198" si="22">B197/1000</f>
        <v>141.796875</v>
      </c>
    </row>
    <row r="198" spans="1:3" ht="15.75" customHeight="1">
      <c r="A198" s="3" t="s">
        <v>48</v>
      </c>
      <c r="B198" s="8">
        <f>B194*400</f>
        <v>220000</v>
      </c>
      <c r="C198" s="7">
        <f t="shared" si="22"/>
        <v>220</v>
      </c>
    </row>
  </sheetData>
  <hyperlinks>
    <hyperlink ref="A8" r:id="rId1" xr:uid="{00000000-0004-0000-0100-000000000000}"/>
    <hyperlink ref="A30" r:id="rId2" xr:uid="{00000000-0004-0000-0100-000001000000}"/>
    <hyperlink ref="A52" r:id="rId3" xr:uid="{00000000-0004-0000-0100-000002000000}"/>
    <hyperlink ref="A74" r:id="rId4" xr:uid="{00000000-0004-0000-0100-000003000000}"/>
    <hyperlink ref="A83" r:id="rId5" xr:uid="{00000000-0004-0000-0100-000004000000}"/>
    <hyperlink ref="A92" r:id="rId6" xr:uid="{00000000-0004-0000-0100-000005000000}"/>
    <hyperlink ref="A111" r:id="rId7" xr:uid="{00000000-0004-0000-0100-000006000000}"/>
    <hyperlink ref="A120" r:id="rId8" xr:uid="{00000000-0004-0000-0100-000007000000}"/>
    <hyperlink ref="A128" r:id="rId9" xr:uid="{00000000-0004-0000-0100-000008000000}"/>
    <hyperlink ref="A141" r:id="rId10" xr:uid="{00000000-0004-0000-0100-000009000000}"/>
    <hyperlink ref="A151" r:id="rId11" xr:uid="{00000000-0004-0000-0100-00000A000000}"/>
    <hyperlink ref="A183" r:id="rId12" location=":~:text=Vestas%20Wind%20Systems%20A%2FS%20financed%20its%20own%20participation%20in,farms%20through%20their%20life%20cycles." xr:uid="{00000000-0004-0000-0100-00000C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184"/>
  <sheetViews>
    <sheetView workbookViewId="0">
      <selection activeCell="E99" sqref="E99"/>
    </sheetView>
  </sheetViews>
  <sheetFormatPr baseColWidth="10" defaultColWidth="14.5" defaultRowHeight="15.75" customHeight="1"/>
  <cols>
    <col min="1" max="1" width="44.33203125" customWidth="1"/>
  </cols>
  <sheetData>
    <row r="1" spans="1:5" ht="15.75" customHeight="1">
      <c r="A1" s="25" t="s">
        <v>161</v>
      </c>
    </row>
    <row r="2" spans="1:5" ht="15.75" customHeight="1">
      <c r="A2" s="25" t="s">
        <v>162</v>
      </c>
    </row>
    <row r="3" spans="1:5" ht="15.75" customHeight="1">
      <c r="A3" s="3" t="s">
        <v>163</v>
      </c>
    </row>
    <row r="4" spans="1:5" ht="15.75" customHeight="1">
      <c r="A4" s="4" t="s">
        <v>24</v>
      </c>
    </row>
    <row r="5" spans="1:5" ht="15.75" customHeight="1">
      <c r="A5" s="5" t="s">
        <v>25</v>
      </c>
    </row>
    <row r="6" spans="1:5" ht="15.75" customHeight="1">
      <c r="A6" s="3"/>
    </row>
    <row r="7" spans="1:5" s="52" customFormat="1" ht="15.75" customHeight="1">
      <c r="A7" s="52" t="s">
        <v>164</v>
      </c>
    </row>
    <row r="8" spans="1:5" s="52" customFormat="1" ht="15.75" customHeight="1">
      <c r="A8" s="52" t="s">
        <v>165</v>
      </c>
    </row>
    <row r="9" spans="1:5" ht="15.75" customHeight="1">
      <c r="A9" s="6" t="s">
        <v>166</v>
      </c>
    </row>
    <row r="10" spans="1:5" ht="15.75" customHeight="1">
      <c r="A10" s="3" t="s">
        <v>590</v>
      </c>
    </row>
    <row r="11" spans="1:5" ht="15.75" customHeight="1">
      <c r="A11" s="3" t="s">
        <v>32</v>
      </c>
      <c r="B11" s="3" t="s">
        <v>155</v>
      </c>
      <c r="C11" s="3" t="s">
        <v>156</v>
      </c>
      <c r="D11" s="3" t="s">
        <v>167</v>
      </c>
      <c r="E11" s="3" t="s">
        <v>33</v>
      </c>
    </row>
    <row r="12" spans="1:5" ht="16">
      <c r="A12" s="1" t="s">
        <v>7</v>
      </c>
      <c r="B12" s="7"/>
      <c r="C12" s="4" t="s">
        <v>168</v>
      </c>
      <c r="E12" s="3"/>
    </row>
    <row r="13" spans="1:5" ht="16">
      <c r="A13" s="1" t="s">
        <v>12</v>
      </c>
      <c r="B13" s="4" t="s">
        <v>169</v>
      </c>
      <c r="C13" s="7"/>
      <c r="E13" s="3"/>
    </row>
    <row r="14" spans="1:5" ht="16">
      <c r="A14" s="1" t="s">
        <v>13</v>
      </c>
      <c r="B14" s="4" t="s">
        <v>170</v>
      </c>
      <c r="C14" s="7"/>
    </row>
    <row r="15" spans="1:5" ht="16">
      <c r="A15" s="1" t="s">
        <v>17</v>
      </c>
      <c r="B15" s="4" t="s">
        <v>171</v>
      </c>
      <c r="C15" s="7"/>
    </row>
    <row r="16" spans="1:5" ht="16">
      <c r="A16" s="1" t="s">
        <v>19</v>
      </c>
      <c r="B16" s="7"/>
      <c r="C16" s="4" t="s">
        <v>172</v>
      </c>
    </row>
    <row r="17" spans="1:4" ht="15.75" customHeight="1">
      <c r="A17" s="3" t="s">
        <v>159</v>
      </c>
      <c r="D17" s="12" t="s">
        <v>173</v>
      </c>
    </row>
    <row r="18" spans="1:4" ht="15.75" customHeight="1">
      <c r="A18" s="3"/>
    </row>
    <row r="20" spans="1:4" s="52" customFormat="1" ht="15.75" customHeight="1">
      <c r="A20" s="52" t="s">
        <v>175</v>
      </c>
    </row>
    <row r="21" spans="1:4" s="52" customFormat="1" ht="15.75" customHeight="1">
      <c r="A21" s="52" t="s">
        <v>176</v>
      </c>
    </row>
    <row r="22" spans="1:4" ht="15.75" customHeight="1">
      <c r="A22" s="6" t="s">
        <v>177</v>
      </c>
    </row>
    <row r="23" spans="1:4" ht="15.75" customHeight="1">
      <c r="A23" s="3" t="s">
        <v>178</v>
      </c>
    </row>
    <row r="24" spans="1:4" ht="15.75" customHeight="1">
      <c r="B24" s="3" t="s">
        <v>179</v>
      </c>
      <c r="C24" s="3" t="s">
        <v>180</v>
      </c>
      <c r="D24" s="3" t="s">
        <v>33</v>
      </c>
    </row>
    <row r="25" spans="1:4" ht="15.75" customHeight="1">
      <c r="A25" s="3" t="s">
        <v>6</v>
      </c>
      <c r="B25" s="4">
        <v>38500</v>
      </c>
      <c r="C25" s="4">
        <v>31300</v>
      </c>
      <c r="D25" s="3" t="s">
        <v>181</v>
      </c>
    </row>
    <row r="27" spans="1:4" s="52" customFormat="1" ht="15.75" customHeight="1">
      <c r="A27" s="52" t="s">
        <v>94</v>
      </c>
    </row>
    <row r="28" spans="1:4" s="52" customFormat="1" ht="15.75" customHeight="1">
      <c r="A28" s="52" t="s">
        <v>95</v>
      </c>
    </row>
    <row r="29" spans="1:4" ht="15.75" customHeight="1">
      <c r="A29" s="3" t="s">
        <v>96</v>
      </c>
    </row>
    <row r="30" spans="1:4" ht="15.75" customHeight="1">
      <c r="A30" s="3" t="s">
        <v>97</v>
      </c>
    </row>
    <row r="31" spans="1:4" ht="15.75" customHeight="1">
      <c r="A31" s="3" t="s">
        <v>98</v>
      </c>
    </row>
    <row r="32" spans="1:4" ht="15.75" customHeight="1">
      <c r="B32" s="3" t="s">
        <v>182</v>
      </c>
      <c r="C32" s="3" t="s">
        <v>33</v>
      </c>
    </row>
    <row r="33" spans="1:7" ht="15.75" customHeight="1">
      <c r="A33" s="3" t="s">
        <v>10</v>
      </c>
      <c r="B33" s="4">
        <v>7000</v>
      </c>
      <c r="C33" s="3"/>
    </row>
    <row r="35" spans="1:7" s="52" customFormat="1" ht="15.75" customHeight="1">
      <c r="A35" s="52" t="s">
        <v>109</v>
      </c>
    </row>
    <row r="36" spans="1:7" s="52" customFormat="1" ht="15.75" customHeight="1">
      <c r="A36" s="52" t="s">
        <v>110</v>
      </c>
    </row>
    <row r="37" spans="1:7" ht="15.75" customHeight="1">
      <c r="A37" s="6" t="s">
        <v>111</v>
      </c>
    </row>
    <row r="38" spans="1:7" ht="15.75" customHeight="1">
      <c r="A38" s="3" t="s">
        <v>112</v>
      </c>
    </row>
    <row r="40" spans="1:7" ht="13">
      <c r="B40" s="3" t="s">
        <v>183</v>
      </c>
      <c r="C40" s="3" t="s">
        <v>184</v>
      </c>
      <c r="D40" s="3" t="s">
        <v>185</v>
      </c>
      <c r="E40" s="3" t="s">
        <v>186</v>
      </c>
      <c r="F40" s="3" t="s">
        <v>187</v>
      </c>
      <c r="G40" s="3" t="s">
        <v>33</v>
      </c>
    </row>
    <row r="41" spans="1:7" ht="16">
      <c r="A41" s="1" t="s">
        <v>5</v>
      </c>
      <c r="B41" s="5">
        <v>59</v>
      </c>
      <c r="C41" s="5">
        <v>68</v>
      </c>
      <c r="D41" s="14"/>
      <c r="E41" s="14"/>
      <c r="F41" s="14"/>
      <c r="G41" s="3" t="s">
        <v>115</v>
      </c>
    </row>
    <row r="42" spans="1:7" ht="16">
      <c r="A42" s="1" t="s">
        <v>7</v>
      </c>
      <c r="B42" s="14"/>
      <c r="C42" s="14"/>
      <c r="D42" s="5">
        <v>7</v>
      </c>
      <c r="E42" s="5">
        <v>265</v>
      </c>
      <c r="F42" s="5">
        <v>242</v>
      </c>
      <c r="G42" s="3" t="s">
        <v>188</v>
      </c>
    </row>
    <row r="43" spans="1:7" ht="16">
      <c r="A43" s="2" t="s">
        <v>189</v>
      </c>
      <c r="B43" s="5"/>
      <c r="C43" s="5"/>
      <c r="D43" s="5">
        <v>4000</v>
      </c>
      <c r="E43" s="5"/>
      <c r="F43" s="5">
        <v>1000</v>
      </c>
      <c r="G43" s="3" t="s">
        <v>190</v>
      </c>
    </row>
    <row r="44" spans="1:7" ht="16">
      <c r="A44" s="1" t="s">
        <v>10</v>
      </c>
      <c r="B44" s="5">
        <v>825</v>
      </c>
      <c r="C44" s="5">
        <v>943</v>
      </c>
      <c r="D44" s="5">
        <v>1005</v>
      </c>
      <c r="E44" s="5">
        <v>450</v>
      </c>
      <c r="F44" s="5">
        <v>5181</v>
      </c>
    </row>
    <row r="45" spans="1:7" ht="16">
      <c r="A45" s="1" t="s">
        <v>11</v>
      </c>
      <c r="B45" s="14"/>
      <c r="C45" s="14"/>
      <c r="D45" s="14"/>
      <c r="E45" s="14"/>
      <c r="F45" s="14"/>
    </row>
    <row r="46" spans="1:7" ht="16">
      <c r="A46" s="1" t="s">
        <v>12</v>
      </c>
      <c r="B46" s="14"/>
      <c r="C46" s="14"/>
      <c r="D46" s="14"/>
      <c r="E46" s="5">
        <v>124</v>
      </c>
      <c r="F46" s="14"/>
    </row>
    <row r="47" spans="1:7" ht="16">
      <c r="A47" s="1" t="s">
        <v>13</v>
      </c>
      <c r="B47" s="14"/>
      <c r="C47" s="14"/>
      <c r="D47" s="5">
        <v>13</v>
      </c>
      <c r="E47" s="5">
        <v>55</v>
      </c>
      <c r="F47" s="14"/>
    </row>
    <row r="48" spans="1:7" ht="16">
      <c r="A48" s="2" t="s">
        <v>191</v>
      </c>
      <c r="B48" s="14"/>
      <c r="C48" s="14"/>
      <c r="D48" s="5">
        <v>11</v>
      </c>
      <c r="E48" s="5">
        <v>109</v>
      </c>
      <c r="F48" s="5">
        <v>1</v>
      </c>
    </row>
    <row r="49" spans="1:6" ht="16">
      <c r="A49" s="1" t="s">
        <v>15</v>
      </c>
      <c r="B49" s="14"/>
      <c r="C49" s="14"/>
      <c r="D49" s="14"/>
      <c r="E49" s="14"/>
      <c r="F49" s="14"/>
    </row>
    <row r="50" spans="1:6" ht="16">
      <c r="A50" s="1" t="s">
        <v>16</v>
      </c>
      <c r="B50" s="5">
        <v>1</v>
      </c>
      <c r="C50" s="5">
        <v>1</v>
      </c>
      <c r="D50" s="5">
        <v>334</v>
      </c>
      <c r="E50" s="14"/>
      <c r="F50" s="5">
        <v>16</v>
      </c>
    </row>
    <row r="51" spans="1:6" ht="16">
      <c r="A51" s="1" t="s">
        <v>17</v>
      </c>
      <c r="B51" s="14"/>
      <c r="C51" s="14"/>
      <c r="D51" s="14"/>
      <c r="E51" s="5">
        <v>11</v>
      </c>
      <c r="F51" s="14"/>
    </row>
    <row r="52" spans="1:6" ht="16">
      <c r="A52" s="1" t="s">
        <v>19</v>
      </c>
      <c r="B52" s="14"/>
      <c r="C52" s="14"/>
      <c r="D52" s="5">
        <v>8</v>
      </c>
      <c r="E52" s="14"/>
      <c r="F52" s="5">
        <v>243</v>
      </c>
    </row>
    <row r="55" spans="1:6" s="52" customFormat="1" ht="16">
      <c r="A55" s="52" t="s">
        <v>192</v>
      </c>
    </row>
    <row r="56" spans="1:6" s="52" customFormat="1" ht="16">
      <c r="A56" s="52" t="s">
        <v>193</v>
      </c>
    </row>
    <row r="57" spans="1:6" ht="13">
      <c r="A57" s="6" t="s">
        <v>194</v>
      </c>
    </row>
    <row r="58" spans="1:6" ht="13">
      <c r="A58" s="3" t="s">
        <v>195</v>
      </c>
    </row>
    <row r="59" spans="1:6" ht="13">
      <c r="B59" s="3" t="s">
        <v>196</v>
      </c>
      <c r="C59" s="3" t="s">
        <v>197</v>
      </c>
      <c r="D59" s="3" t="s">
        <v>33</v>
      </c>
    </row>
    <row r="60" spans="1:6" ht="16">
      <c r="A60" s="1" t="s">
        <v>5</v>
      </c>
      <c r="B60" s="4">
        <v>13</v>
      </c>
      <c r="C60" s="4">
        <v>16</v>
      </c>
    </row>
    <row r="61" spans="1:6" ht="16">
      <c r="A61" s="1" t="s">
        <v>6</v>
      </c>
      <c r="B61" s="4">
        <v>0</v>
      </c>
      <c r="C61" s="4">
        <v>11000</v>
      </c>
    </row>
    <row r="62" spans="1:6" ht="16">
      <c r="A62" s="2" t="s">
        <v>20</v>
      </c>
      <c r="B62" s="4">
        <v>250000</v>
      </c>
      <c r="C62" s="4">
        <v>72000</v>
      </c>
      <c r="D62" s="3" t="s">
        <v>198</v>
      </c>
    </row>
    <row r="63" spans="1:6" ht="13">
      <c r="A63" s="3" t="s">
        <v>189</v>
      </c>
      <c r="B63" s="5">
        <v>2200</v>
      </c>
      <c r="C63" s="5">
        <v>3700</v>
      </c>
    </row>
    <row r="64" spans="1:6" ht="16">
      <c r="A64" s="1" t="s">
        <v>10</v>
      </c>
      <c r="B64" s="4">
        <v>3200</v>
      </c>
      <c r="C64" s="4">
        <v>1400</v>
      </c>
    </row>
    <row r="65" spans="1:6" ht="16">
      <c r="A65" s="2" t="s">
        <v>202</v>
      </c>
      <c r="B65" s="5">
        <v>3000</v>
      </c>
      <c r="C65" s="5">
        <v>2600</v>
      </c>
    </row>
    <row r="66" spans="1:6" ht="16">
      <c r="A66" s="1" t="s">
        <v>14</v>
      </c>
      <c r="B66" s="4">
        <v>2000</v>
      </c>
      <c r="C66" s="4">
        <v>5700</v>
      </c>
      <c r="E66" s="3" t="s">
        <v>204</v>
      </c>
    </row>
    <row r="67" spans="1:6" ht="16">
      <c r="A67" s="2" t="s">
        <v>191</v>
      </c>
      <c r="B67" s="5">
        <v>200</v>
      </c>
      <c r="C67" s="5">
        <v>56</v>
      </c>
      <c r="E67" s="3" t="s">
        <v>196</v>
      </c>
      <c r="F67" s="3" t="s">
        <v>197</v>
      </c>
    </row>
    <row r="68" spans="1:6" ht="16">
      <c r="A68" s="1" t="s">
        <v>16</v>
      </c>
      <c r="B68" s="4">
        <v>940</v>
      </c>
      <c r="C68" s="4">
        <v>1800</v>
      </c>
      <c r="E68" s="4">
        <v>250000</v>
      </c>
      <c r="F68" s="4">
        <v>72000</v>
      </c>
    </row>
    <row r="69" spans="1:6" ht="16">
      <c r="A69" s="1" t="s">
        <v>18</v>
      </c>
      <c r="B69" s="4">
        <v>240000</v>
      </c>
      <c r="C69" s="4">
        <v>400000</v>
      </c>
    </row>
    <row r="70" spans="1:6" ht="13">
      <c r="A70" s="3" t="s">
        <v>205</v>
      </c>
      <c r="B70" s="5">
        <v>650000</v>
      </c>
      <c r="C70" s="5">
        <v>393000</v>
      </c>
      <c r="D70" s="3"/>
    </row>
    <row r="71" spans="1:6" ht="14">
      <c r="A71" s="16" t="s">
        <v>160</v>
      </c>
      <c r="B71" s="4">
        <v>130000</v>
      </c>
      <c r="C71" s="4">
        <v>110000</v>
      </c>
    </row>
    <row r="72" spans="1:6" ht="14">
      <c r="A72" s="16" t="s">
        <v>206</v>
      </c>
      <c r="B72" s="5">
        <v>92000</v>
      </c>
      <c r="C72" s="5">
        <v>81000</v>
      </c>
      <c r="D72" s="3"/>
    </row>
    <row r="73" spans="1:6" ht="14">
      <c r="A73" s="16"/>
    </row>
    <row r="74" spans="1:6" ht="14">
      <c r="A74" s="16"/>
      <c r="B74" s="3" t="s">
        <v>591</v>
      </c>
    </row>
    <row r="75" spans="1:6" ht="14">
      <c r="A75" s="16"/>
      <c r="B75" s="3" t="s">
        <v>196</v>
      </c>
      <c r="C75" s="3" t="s">
        <v>197</v>
      </c>
      <c r="D75" s="3" t="s">
        <v>33</v>
      </c>
    </row>
    <row r="76" spans="1:6" ht="14">
      <c r="A76" s="16"/>
      <c r="B76" s="8">
        <f>B62*10.43</f>
        <v>2607500</v>
      </c>
      <c r="C76" s="8">
        <f>C62*10.43</f>
        <v>750960</v>
      </c>
      <c r="D76" s="15" t="s">
        <v>199</v>
      </c>
    </row>
    <row r="77" spans="1:6" ht="16">
      <c r="A77" s="16"/>
      <c r="D77" s="1" t="s">
        <v>200</v>
      </c>
    </row>
    <row r="78" spans="1:6" ht="16">
      <c r="A78" s="16"/>
      <c r="D78" s="1" t="s">
        <v>201</v>
      </c>
    </row>
    <row r="79" spans="1:6" ht="16">
      <c r="A79" s="16"/>
      <c r="D79" s="55" t="s">
        <v>203</v>
      </c>
    </row>
    <row r="80" spans="1:6" ht="16" customHeight="1">
      <c r="A80" s="16"/>
    </row>
    <row r="81" spans="1:6" s="52" customFormat="1" ht="16">
      <c r="A81" s="52" t="s">
        <v>207</v>
      </c>
    </row>
    <row r="82" spans="1:6" s="52" customFormat="1" ht="16">
      <c r="A82" s="52" t="s">
        <v>208</v>
      </c>
    </row>
    <row r="83" spans="1:6" ht="13">
      <c r="A83" s="3" t="s">
        <v>209</v>
      </c>
    </row>
    <row r="84" spans="1:6" ht="16">
      <c r="A84" s="2" t="s">
        <v>210</v>
      </c>
      <c r="B84" s="3"/>
      <c r="C84" s="3"/>
    </row>
    <row r="85" spans="1:6" ht="16">
      <c r="A85" s="2" t="s">
        <v>32</v>
      </c>
      <c r="B85" s="3" t="s">
        <v>167</v>
      </c>
      <c r="C85" s="3" t="s">
        <v>33</v>
      </c>
    </row>
    <row r="86" spans="1:6" ht="13">
      <c r="A86" s="3" t="s">
        <v>5</v>
      </c>
      <c r="B86" s="4">
        <v>10</v>
      </c>
      <c r="C86" s="3" t="s">
        <v>211</v>
      </c>
    </row>
    <row r="87" spans="1:6" ht="16">
      <c r="A87" s="1"/>
      <c r="C87" s="3" t="s">
        <v>212</v>
      </c>
    </row>
    <row r="89" spans="1:6" s="52" customFormat="1" ht="16">
      <c r="A89" s="52" t="s">
        <v>213</v>
      </c>
    </row>
    <row r="90" spans="1:6" s="52" customFormat="1" ht="16">
      <c r="A90" s="52" t="s">
        <v>214</v>
      </c>
    </row>
    <row r="91" spans="1:6" ht="13">
      <c r="A91" s="3" t="s">
        <v>215</v>
      </c>
    </row>
    <row r="92" spans="1:6" ht="13">
      <c r="A92" s="3" t="s">
        <v>216</v>
      </c>
      <c r="B92" s="3" t="s">
        <v>217</v>
      </c>
      <c r="C92" s="3" t="s">
        <v>155</v>
      </c>
      <c r="D92" s="3" t="s">
        <v>218</v>
      </c>
      <c r="E92" s="3" t="s">
        <v>219</v>
      </c>
      <c r="F92" s="3" t="s">
        <v>33</v>
      </c>
    </row>
    <row r="93" spans="1:6" ht="13">
      <c r="A93" s="3" t="s">
        <v>7</v>
      </c>
      <c r="B93" s="4">
        <v>29.4</v>
      </c>
      <c r="C93" s="7"/>
      <c r="D93" s="7"/>
    </row>
    <row r="94" spans="1:6" ht="13">
      <c r="A94" s="3" t="s">
        <v>19</v>
      </c>
      <c r="B94" s="4">
        <v>31.4</v>
      </c>
      <c r="C94" s="7"/>
      <c r="D94" s="7"/>
    </row>
    <row r="95" spans="1:6" ht="13">
      <c r="A95" s="3" t="s">
        <v>10</v>
      </c>
      <c r="B95" s="7"/>
      <c r="C95" s="4">
        <v>8.2200000000000006</v>
      </c>
      <c r="D95" s="7"/>
      <c r="F95" s="3"/>
    </row>
    <row r="96" spans="1:6" ht="13">
      <c r="A96" s="3" t="s">
        <v>13</v>
      </c>
      <c r="B96" s="7"/>
      <c r="C96" s="4">
        <v>14.9</v>
      </c>
      <c r="D96" s="7"/>
    </row>
    <row r="97" spans="1:7" ht="13">
      <c r="A97" s="3" t="s">
        <v>12</v>
      </c>
      <c r="B97" s="7"/>
      <c r="C97" s="4">
        <v>9</v>
      </c>
      <c r="D97" s="7"/>
    </row>
    <row r="98" spans="1:7" ht="13">
      <c r="A98" s="3" t="s">
        <v>17</v>
      </c>
      <c r="B98" s="7"/>
      <c r="C98" s="4">
        <v>20.399999999999999</v>
      </c>
      <c r="D98" s="7"/>
    </row>
    <row r="99" spans="1:7" ht="13">
      <c r="A99" s="3" t="s">
        <v>9</v>
      </c>
      <c r="B99" s="7"/>
      <c r="C99" s="7"/>
      <c r="D99" s="4">
        <v>63000</v>
      </c>
      <c r="F99" s="3" t="s">
        <v>220</v>
      </c>
      <c r="G99" s="6" t="s">
        <v>221</v>
      </c>
    </row>
    <row r="100" spans="1:7" ht="13">
      <c r="A100" s="3" t="s">
        <v>222</v>
      </c>
      <c r="B100" s="7"/>
      <c r="C100" s="7"/>
      <c r="D100" s="4">
        <v>73000</v>
      </c>
      <c r="F100" s="17" t="s">
        <v>593</v>
      </c>
    </row>
    <row r="101" spans="1:7" ht="13">
      <c r="A101" s="3" t="s">
        <v>6</v>
      </c>
      <c r="B101" s="7"/>
      <c r="C101" s="7"/>
      <c r="D101" s="4">
        <v>8500</v>
      </c>
    </row>
    <row r="102" spans="1:7" ht="13">
      <c r="A102" s="3" t="s">
        <v>10</v>
      </c>
      <c r="B102" s="7"/>
      <c r="C102" s="7"/>
      <c r="D102" s="4">
        <v>4900</v>
      </c>
    </row>
    <row r="103" spans="1:7" ht="13">
      <c r="A103" s="3" t="s">
        <v>159</v>
      </c>
      <c r="D103" s="4" t="s">
        <v>223</v>
      </c>
      <c r="E103" s="4">
        <v>58</v>
      </c>
    </row>
    <row r="104" spans="1:7" ht="13">
      <c r="A104" s="3" t="s">
        <v>160</v>
      </c>
      <c r="D104" s="4">
        <v>50000</v>
      </c>
    </row>
    <row r="106" spans="1:7" ht="15.75" customHeight="1">
      <c r="A106" s="3" t="s">
        <v>35</v>
      </c>
      <c r="B106" s="3" t="s">
        <v>537</v>
      </c>
    </row>
    <row r="107" spans="1:7" ht="15.75" customHeight="1">
      <c r="A107" s="3" t="s">
        <v>38</v>
      </c>
      <c r="B107" s="8">
        <f>D99/1.6</f>
        <v>39375</v>
      </c>
    </row>
    <row r="108" spans="1:7" ht="15.75" customHeight="1">
      <c r="A108" s="3" t="s">
        <v>40</v>
      </c>
      <c r="B108" s="8">
        <f>D99/2.5</f>
        <v>25200</v>
      </c>
    </row>
    <row r="110" spans="1:7" ht="15.75" customHeight="1">
      <c r="B110" s="3" t="s">
        <v>538</v>
      </c>
      <c r="C110" s="3" t="s">
        <v>539</v>
      </c>
    </row>
    <row r="111" spans="1:7" ht="15.75" customHeight="1">
      <c r="A111" s="3" t="s">
        <v>46</v>
      </c>
      <c r="B111" s="8">
        <f>B107*165</f>
        <v>6496875</v>
      </c>
      <c r="C111" s="7">
        <f t="shared" ref="C111:C112" si="0">B111/1000</f>
        <v>6496.875</v>
      </c>
    </row>
    <row r="112" spans="1:7" ht="15.75" customHeight="1">
      <c r="A112" s="3" t="s">
        <v>48</v>
      </c>
      <c r="B112" s="8">
        <f>B108*400</f>
        <v>10080000</v>
      </c>
      <c r="C112" s="7">
        <f t="shared" si="0"/>
        <v>10080</v>
      </c>
    </row>
    <row r="114" spans="1:6" s="52" customFormat="1" ht="16">
      <c r="A114" s="52" t="s">
        <v>224</v>
      </c>
    </row>
    <row r="115" spans="1:6" s="52" customFormat="1" ht="16">
      <c r="A115" s="52" t="s">
        <v>225</v>
      </c>
    </row>
    <row r="117" spans="1:6" ht="13">
      <c r="A117" s="18" t="s">
        <v>226</v>
      </c>
      <c r="B117" s="18" t="s">
        <v>174</v>
      </c>
      <c r="C117" s="18" t="s">
        <v>174</v>
      </c>
      <c r="D117" s="18" t="s">
        <v>174</v>
      </c>
      <c r="E117" s="18" t="s">
        <v>174</v>
      </c>
      <c r="F117" s="3" t="s">
        <v>227</v>
      </c>
    </row>
    <row r="118" spans="1:6" ht="13">
      <c r="B118" s="18" t="s">
        <v>228</v>
      </c>
      <c r="C118" s="18" t="s">
        <v>229</v>
      </c>
      <c r="D118" s="18" t="s">
        <v>230</v>
      </c>
      <c r="E118" s="18" t="s">
        <v>231</v>
      </c>
      <c r="F118" s="3" t="s">
        <v>594</v>
      </c>
    </row>
    <row r="119" spans="1:6" ht="13">
      <c r="A119" s="18" t="s">
        <v>232</v>
      </c>
      <c r="B119" s="19">
        <v>4118</v>
      </c>
      <c r="C119" s="20">
        <v>3.5</v>
      </c>
      <c r="D119" s="19">
        <v>1</v>
      </c>
      <c r="E119" s="19">
        <v>1</v>
      </c>
    </row>
    <row r="120" spans="1:6" ht="13">
      <c r="A120" s="18" t="s">
        <v>233</v>
      </c>
      <c r="B120" s="14"/>
      <c r="C120" s="7"/>
      <c r="D120" s="14"/>
      <c r="E120" s="14"/>
    </row>
    <row r="121" spans="1:6" ht="13">
      <c r="A121" s="18" t="s">
        <v>74</v>
      </c>
      <c r="B121" s="14">
        <v>43200</v>
      </c>
      <c r="C121" s="7">
        <v>19000</v>
      </c>
      <c r="D121" s="14">
        <v>11400</v>
      </c>
      <c r="E121" s="14">
        <v>23000</v>
      </c>
    </row>
    <row r="122" spans="1:6" ht="13">
      <c r="A122" s="18" t="s">
        <v>9</v>
      </c>
      <c r="B122" s="14">
        <v>540000</v>
      </c>
      <c r="C122" s="7">
        <v>65700</v>
      </c>
      <c r="D122" s="14"/>
      <c r="E122" s="14"/>
    </row>
    <row r="123" spans="1:6" ht="13">
      <c r="A123" s="18" t="s">
        <v>10</v>
      </c>
      <c r="B123" s="14">
        <v>117000</v>
      </c>
      <c r="C123" s="7">
        <v>7530</v>
      </c>
      <c r="D123" s="14">
        <v>170</v>
      </c>
      <c r="E123" s="14">
        <v>850</v>
      </c>
      <c r="F123" s="3" t="s">
        <v>234</v>
      </c>
    </row>
    <row r="124" spans="1:6" ht="13">
      <c r="A124" s="18" t="s">
        <v>18</v>
      </c>
      <c r="B124" s="14">
        <v>1117000</v>
      </c>
      <c r="C124" s="7">
        <v>55900</v>
      </c>
      <c r="D124" s="14"/>
      <c r="E124" s="14"/>
    </row>
    <row r="125" spans="1:6" ht="13">
      <c r="B125" s="6"/>
      <c r="C125" s="6"/>
    </row>
    <row r="126" spans="1:6" ht="13">
      <c r="A126" s="3" t="s">
        <v>35</v>
      </c>
      <c r="B126" s="3" t="s">
        <v>537</v>
      </c>
    </row>
    <row r="127" spans="1:6" ht="13">
      <c r="A127" s="3" t="s">
        <v>38</v>
      </c>
      <c r="B127" s="8">
        <f>C122/1.6</f>
        <v>41062.5</v>
      </c>
    </row>
    <row r="128" spans="1:6" ht="13">
      <c r="A128" s="3" t="s">
        <v>40</v>
      </c>
      <c r="B128" s="8">
        <f>C122/2.5</f>
        <v>26280</v>
      </c>
    </row>
    <row r="129" spans="1:3" ht="13"/>
    <row r="130" spans="1:3" ht="13">
      <c r="B130" s="25" t="s">
        <v>538</v>
      </c>
      <c r="C130" s="25" t="s">
        <v>539</v>
      </c>
    </row>
    <row r="131" spans="1:3" ht="13">
      <c r="A131" s="3" t="s">
        <v>46</v>
      </c>
      <c r="B131" s="8">
        <f>B127*165</f>
        <v>6775312.5</v>
      </c>
      <c r="C131" s="7">
        <f t="shared" ref="C131:C132" si="1">B131/1000</f>
        <v>6775.3125</v>
      </c>
    </row>
    <row r="132" spans="1:3" ht="13">
      <c r="A132" s="3" t="s">
        <v>48</v>
      </c>
      <c r="B132" s="8">
        <f>B128*400</f>
        <v>10512000</v>
      </c>
      <c r="C132" s="7">
        <f t="shared" si="1"/>
        <v>10512</v>
      </c>
    </row>
    <row r="133" spans="1:3" ht="13">
      <c r="C133" s="25"/>
    </row>
    <row r="134" spans="1:3" s="52" customFormat="1" ht="16">
      <c r="A134" s="52" t="s">
        <v>236</v>
      </c>
    </row>
    <row r="135" spans="1:3" s="52" customFormat="1" ht="16">
      <c r="A135" s="52" t="s">
        <v>237</v>
      </c>
    </row>
    <row r="136" spans="1:3" ht="13">
      <c r="A136" s="3" t="s">
        <v>238</v>
      </c>
    </row>
    <row r="137" spans="1:3" ht="14">
      <c r="A137" s="16" t="s">
        <v>239</v>
      </c>
    </row>
    <row r="138" spans="1:3" ht="14">
      <c r="A138" s="16" t="s">
        <v>240</v>
      </c>
    </row>
    <row r="139" spans="1:3" ht="14">
      <c r="A139" s="16" t="s">
        <v>241</v>
      </c>
    </row>
    <row r="141" spans="1:3" ht="13">
      <c r="A141" s="3" t="s">
        <v>216</v>
      </c>
      <c r="B141" s="3" t="s">
        <v>167</v>
      </c>
      <c r="C141" s="3" t="s">
        <v>33</v>
      </c>
    </row>
    <row r="142" spans="1:3" ht="14">
      <c r="A142" s="3" t="s">
        <v>16</v>
      </c>
      <c r="B142" s="4">
        <v>1</v>
      </c>
      <c r="C142" s="16" t="s">
        <v>242</v>
      </c>
    </row>
    <row r="144" spans="1:3" ht="13">
      <c r="A144" s="3" t="s">
        <v>243</v>
      </c>
    </row>
    <row r="145" spans="1:2" ht="13">
      <c r="A145" s="6" t="s">
        <v>244</v>
      </c>
    </row>
    <row r="147" spans="1:2" s="52" customFormat="1" ht="16">
      <c r="A147" s="52" t="s">
        <v>245</v>
      </c>
      <c r="B147" s="53"/>
    </row>
    <row r="148" spans="1:2" s="52" customFormat="1" ht="16">
      <c r="A148" s="52" t="s">
        <v>246</v>
      </c>
      <c r="B148" s="53"/>
    </row>
    <row r="149" spans="1:2" ht="13">
      <c r="A149" s="4" t="s">
        <v>9</v>
      </c>
      <c r="B149" s="7">
        <f>47*1000</f>
        <v>47000</v>
      </c>
    </row>
    <row r="150" spans="1:2" ht="13">
      <c r="A150" s="4" t="s">
        <v>18</v>
      </c>
      <c r="B150" s="7">
        <f>56*1000</f>
        <v>56000</v>
      </c>
    </row>
    <row r="151" spans="1:2" ht="13">
      <c r="A151" s="4" t="s">
        <v>247</v>
      </c>
      <c r="B151" s="7">
        <f>6*1000</f>
        <v>6000</v>
      </c>
    </row>
    <row r="152" spans="1:2" ht="13">
      <c r="A152" s="4" t="s">
        <v>160</v>
      </c>
      <c r="B152" s="7">
        <f>70*1000</f>
        <v>70000</v>
      </c>
    </row>
    <row r="153" spans="1:2" ht="13">
      <c r="A153" s="4" t="s">
        <v>6</v>
      </c>
      <c r="B153" s="7">
        <f>19*1000</f>
        <v>19000</v>
      </c>
    </row>
    <row r="154" spans="1:2" ht="13">
      <c r="A154" s="4" t="s">
        <v>10</v>
      </c>
      <c r="B154" s="7">
        <f>7*1000</f>
        <v>7000</v>
      </c>
    </row>
    <row r="155" spans="1:2" ht="13">
      <c r="A155" s="4" t="s">
        <v>248</v>
      </c>
      <c r="B155" s="4">
        <v>7000</v>
      </c>
    </row>
    <row r="157" spans="1:2" ht="13">
      <c r="A157" s="18" t="s">
        <v>35</v>
      </c>
      <c r="B157" s="18" t="s">
        <v>537</v>
      </c>
    </row>
    <row r="158" spans="1:2" ht="13">
      <c r="A158" s="18" t="s">
        <v>38</v>
      </c>
      <c r="B158" s="8">
        <f>B149/1.6</f>
        <v>29375</v>
      </c>
    </row>
    <row r="159" spans="1:2" ht="13">
      <c r="A159" s="18" t="s">
        <v>40</v>
      </c>
      <c r="B159" s="8">
        <f>B149/2.5</f>
        <v>18800</v>
      </c>
    </row>
    <row r="161" spans="1:3" ht="13">
      <c r="B161" s="25" t="s">
        <v>538</v>
      </c>
      <c r="C161" s="25" t="s">
        <v>539</v>
      </c>
    </row>
    <row r="162" spans="1:3" ht="13">
      <c r="A162" s="18" t="s">
        <v>46</v>
      </c>
      <c r="B162" s="8">
        <f>B158*165</f>
        <v>4846875</v>
      </c>
      <c r="C162" s="8">
        <f t="shared" ref="C162:C163" si="2">B162/1000</f>
        <v>4846.875</v>
      </c>
    </row>
    <row r="163" spans="1:3" ht="13">
      <c r="A163" s="18" t="s">
        <v>48</v>
      </c>
      <c r="B163" s="8">
        <f>B159*400</f>
        <v>7520000</v>
      </c>
      <c r="C163" s="8">
        <f t="shared" si="2"/>
        <v>7520</v>
      </c>
    </row>
    <row r="165" spans="1:3" s="52" customFormat="1" ht="16">
      <c r="A165" s="52" t="s">
        <v>249</v>
      </c>
    </row>
    <row r="166" spans="1:3" s="52" customFormat="1" ht="16">
      <c r="A166" s="52" t="s">
        <v>250</v>
      </c>
    </row>
    <row r="167" spans="1:3" ht="13">
      <c r="A167" s="4" t="s">
        <v>251</v>
      </c>
    </row>
    <row r="168" spans="1:3" ht="13">
      <c r="A168" s="3" t="s">
        <v>252</v>
      </c>
    </row>
    <row r="170" spans="1:3" s="52" customFormat="1" ht="16">
      <c r="A170" s="52" t="s">
        <v>253</v>
      </c>
    </row>
    <row r="171" spans="1:3" s="52" customFormat="1" ht="16">
      <c r="A171" s="52" t="s">
        <v>237</v>
      </c>
    </row>
    <row r="172" spans="1:3" ht="13">
      <c r="A172" s="3"/>
    </row>
    <row r="173" spans="1:3" ht="13">
      <c r="A173" s="3" t="s">
        <v>592</v>
      </c>
    </row>
    <row r="174" spans="1:3" ht="13">
      <c r="B174" s="3" t="s">
        <v>254</v>
      </c>
      <c r="C174" s="3" t="s">
        <v>32</v>
      </c>
    </row>
    <row r="175" spans="1:3" ht="13">
      <c r="A175" s="3" t="s">
        <v>160</v>
      </c>
      <c r="B175" s="3">
        <v>195</v>
      </c>
      <c r="C175" s="8">
        <f>(1000000/195)*10</f>
        <v>51282.051282051281</v>
      </c>
    </row>
    <row r="176" spans="1:3" ht="13">
      <c r="A176" s="3" t="s">
        <v>160</v>
      </c>
      <c r="B176" s="3">
        <v>180</v>
      </c>
      <c r="C176" s="21">
        <f>(1000000/180)*10</f>
        <v>55555.555555555555</v>
      </c>
    </row>
    <row r="177" spans="1:6" ht="13">
      <c r="A177" s="3" t="s">
        <v>255</v>
      </c>
      <c r="C177" s="7">
        <f>AVERAGE(C175:C176)</f>
        <v>53418.803418803422</v>
      </c>
    </row>
    <row r="178" spans="1:6" ht="13">
      <c r="A178" s="3"/>
    </row>
    <row r="179" spans="1:6" ht="13">
      <c r="A179" s="3"/>
    </row>
    <row r="180" spans="1:6" s="52" customFormat="1" ht="16">
      <c r="A180" s="52" t="s">
        <v>256</v>
      </c>
    </row>
    <row r="181" spans="1:6" s="52" customFormat="1" ht="16">
      <c r="A181" s="52" t="s">
        <v>257</v>
      </c>
    </row>
    <row r="182" spans="1:6" ht="13">
      <c r="A182" s="3" t="s">
        <v>235</v>
      </c>
      <c r="B182" s="3" t="s">
        <v>258</v>
      </c>
      <c r="C182" s="3" t="s">
        <v>259</v>
      </c>
      <c r="D182" s="3" t="s">
        <v>254</v>
      </c>
      <c r="E182" s="3" t="s">
        <v>260</v>
      </c>
      <c r="F182" s="3" t="s">
        <v>32</v>
      </c>
    </row>
    <row r="183" spans="1:6" ht="13">
      <c r="A183" s="3" t="s">
        <v>261</v>
      </c>
      <c r="B183" s="3">
        <v>5.2</v>
      </c>
      <c r="C183" s="3" t="s">
        <v>262</v>
      </c>
      <c r="D183" s="3">
        <v>195</v>
      </c>
      <c r="E183" s="3">
        <v>2.93</v>
      </c>
      <c r="F183" s="4">
        <v>2930</v>
      </c>
    </row>
    <row r="184" spans="1:6" ht="13">
      <c r="A184" s="3" t="s">
        <v>263</v>
      </c>
      <c r="B184" s="3">
        <v>5.6</v>
      </c>
      <c r="C184" s="3" t="s">
        <v>264</v>
      </c>
      <c r="D184" s="3">
        <v>180</v>
      </c>
      <c r="E184" s="3">
        <v>3.45</v>
      </c>
      <c r="F184" s="4">
        <v>3450</v>
      </c>
    </row>
  </sheetData>
  <hyperlinks>
    <hyperlink ref="A9" r:id="rId1" location="!divAbstract" xr:uid="{00000000-0004-0000-0300-000000000000}"/>
    <hyperlink ref="A22" r:id="rId2" xr:uid="{00000000-0004-0000-0300-000002000000}"/>
    <hyperlink ref="A28" r:id="rId3" xr:uid="{00000000-0004-0000-0300-000003000000}"/>
    <hyperlink ref="A37" r:id="rId4" xr:uid="{00000000-0004-0000-0300-000004000000}"/>
    <hyperlink ref="A57" r:id="rId5" xr:uid="{00000000-0004-0000-0300-000005000000}"/>
    <hyperlink ref="D76" r:id="rId6" xr:uid="{00000000-0004-0000-0300-000006000000}"/>
    <hyperlink ref="A82" r:id="rId7" location="ec0005" xr:uid="{00000000-0004-0000-0300-000007000000}"/>
    <hyperlink ref="A90" r:id="rId8" location="!divAbstract" xr:uid="{00000000-0004-0000-0300-000008000000}"/>
    <hyperlink ref="G99" r:id="rId9" xr:uid="{00000000-0004-0000-0300-000009000000}"/>
    <hyperlink ref="A135" r:id="rId10" xr:uid="{00000000-0004-0000-0300-00000C000000}"/>
    <hyperlink ref="A145" r:id="rId11" xr:uid="{00000000-0004-0000-0300-00000D000000}"/>
    <hyperlink ref="A148" r:id="rId12" xr:uid="{00000000-0004-0000-0300-00000E000000}"/>
    <hyperlink ref="A166" r:id="rId13" xr:uid="{00000000-0004-0000-0300-00000F000000}"/>
    <hyperlink ref="A171" r:id="rId14" xr:uid="{00000000-0004-0000-0300-000010000000}"/>
    <hyperlink ref="A181" r:id="rId15" xr:uid="{00000000-0004-0000-0300-000011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Q219"/>
  <sheetViews>
    <sheetView workbookViewId="0">
      <pane xSplit="1" topLeftCell="B1" activePane="topRight" state="frozen"/>
      <selection pane="topRight" activeCell="D215" sqref="D215"/>
    </sheetView>
  </sheetViews>
  <sheetFormatPr baseColWidth="10" defaultColWidth="14.5" defaultRowHeight="15.75" customHeight="1"/>
  <cols>
    <col min="1" max="1" width="70" customWidth="1"/>
    <col min="2" max="2" width="16.5" customWidth="1"/>
    <col min="3" max="3" width="24.5" customWidth="1"/>
    <col min="4" max="4" width="36.33203125" customWidth="1"/>
  </cols>
  <sheetData>
    <row r="1" spans="1:4" ht="13">
      <c r="A1" s="3" t="s">
        <v>519</v>
      </c>
      <c r="B1" s="3"/>
    </row>
    <row r="2" spans="1:4" ht="13">
      <c r="A2" s="3" t="s">
        <v>520</v>
      </c>
      <c r="B2" s="3"/>
    </row>
    <row r="3" spans="1:4" ht="13">
      <c r="A3" s="3" t="s">
        <v>521</v>
      </c>
      <c r="B3" s="3"/>
    </row>
    <row r="4" spans="1:4" ht="13">
      <c r="A4" s="4" t="s">
        <v>24</v>
      </c>
      <c r="B4" s="3"/>
    </row>
    <row r="5" spans="1:4" ht="13">
      <c r="A5" s="5" t="s">
        <v>25</v>
      </c>
      <c r="B5" s="3"/>
    </row>
    <row r="6" spans="1:4" ht="13">
      <c r="A6" s="3"/>
      <c r="B6" s="3"/>
    </row>
    <row r="7" spans="1:4" s="52" customFormat="1" ht="16">
      <c r="A7" s="52" t="s">
        <v>531</v>
      </c>
    </row>
    <row r="8" spans="1:4" s="52" customFormat="1" ht="16">
      <c r="A8" s="52" t="s">
        <v>532</v>
      </c>
    </row>
    <row r="9" spans="1:4" s="52" customFormat="1" ht="16">
      <c r="A9" s="52" t="s">
        <v>268</v>
      </c>
    </row>
    <row r="10" spans="1:4" ht="13">
      <c r="A10" s="3" t="s">
        <v>269</v>
      </c>
      <c r="B10" s="3"/>
    </row>
    <row r="11" spans="1:4" ht="13">
      <c r="A11" s="3" t="s">
        <v>270</v>
      </c>
      <c r="B11" s="3"/>
    </row>
    <row r="12" spans="1:4" ht="13">
      <c r="A12" s="3" t="s">
        <v>271</v>
      </c>
      <c r="B12" s="3" t="s">
        <v>272</v>
      </c>
      <c r="C12" s="3" t="s">
        <v>528</v>
      </c>
      <c r="D12" s="3" t="s">
        <v>33</v>
      </c>
    </row>
    <row r="13" spans="1:4" ht="13">
      <c r="A13" s="3" t="s">
        <v>18</v>
      </c>
      <c r="B13" s="3">
        <v>1.5E-3</v>
      </c>
      <c r="C13" s="3">
        <v>2.3E-3</v>
      </c>
      <c r="D13" s="3" t="s">
        <v>273</v>
      </c>
    </row>
    <row r="14" spans="1:4" ht="13">
      <c r="A14" s="3" t="s">
        <v>10</v>
      </c>
      <c r="B14" s="3">
        <v>2.0000000000000002E-5</v>
      </c>
      <c r="C14" s="3">
        <v>2.4000000000000001E-5</v>
      </c>
      <c r="D14" s="3" t="s">
        <v>527</v>
      </c>
    </row>
    <row r="15" spans="1:4" ht="13">
      <c r="A15" s="25"/>
      <c r="B15" s="25"/>
      <c r="C15" s="25"/>
      <c r="D15" s="25"/>
    </row>
    <row r="16" spans="1:4" ht="13">
      <c r="A16" s="3" t="s">
        <v>522</v>
      </c>
    </row>
    <row r="17" spans="1:6" ht="13">
      <c r="A17" s="3" t="s">
        <v>274</v>
      </c>
      <c r="B17" s="3">
        <f>600000*8000</f>
        <v>4800000000</v>
      </c>
    </row>
    <row r="18" spans="1:6" ht="13">
      <c r="A18" s="3" t="s">
        <v>275</v>
      </c>
      <c r="B18" s="3">
        <f>B17*25</f>
        <v>120000000000</v>
      </c>
    </row>
    <row r="19" spans="1:6" ht="13">
      <c r="A19" s="3" t="s">
        <v>276</v>
      </c>
      <c r="B19" s="3">
        <f>B18/1000000000</f>
        <v>120</v>
      </c>
    </row>
    <row r="20" spans="1:6" ht="13">
      <c r="A20" s="25"/>
      <c r="B20" s="25"/>
    </row>
    <row r="21" spans="1:6" ht="13"/>
    <row r="22" spans="1:6" ht="13">
      <c r="A22" s="3" t="s">
        <v>523</v>
      </c>
      <c r="B22" s="3" t="s">
        <v>272</v>
      </c>
      <c r="C22" s="25" t="s">
        <v>528</v>
      </c>
      <c r="D22" s="3" t="s">
        <v>33</v>
      </c>
      <c r="F22" s="25"/>
    </row>
    <row r="23" spans="1:6" ht="13">
      <c r="A23" s="3" t="s">
        <v>18</v>
      </c>
      <c r="B23" s="8">
        <f>B13*$B$18</f>
        <v>180000000</v>
      </c>
      <c r="C23" s="8">
        <f>C13*$B$18</f>
        <v>276000000</v>
      </c>
      <c r="F23" s="25"/>
    </row>
    <row r="24" spans="1:6" ht="13">
      <c r="A24" s="3" t="s">
        <v>10</v>
      </c>
      <c r="B24" s="8">
        <f>B14*$B$18</f>
        <v>2400000</v>
      </c>
      <c r="C24" s="8">
        <f>C14*$B$18</f>
        <v>2880000</v>
      </c>
      <c r="F24" s="25"/>
    </row>
    <row r="25" spans="1:6" ht="13">
      <c r="F25" s="25"/>
    </row>
    <row r="26" spans="1:6" ht="13">
      <c r="A26" s="3" t="s">
        <v>524</v>
      </c>
      <c r="B26" s="3" t="s">
        <v>272</v>
      </c>
      <c r="C26" s="25" t="s">
        <v>528</v>
      </c>
      <c r="D26" s="3" t="s">
        <v>525</v>
      </c>
      <c r="E26" s="3" t="s">
        <v>33</v>
      </c>
      <c r="F26" s="25"/>
    </row>
    <row r="27" spans="1:6" ht="13">
      <c r="A27" s="3" t="s">
        <v>18</v>
      </c>
      <c r="B27" s="14">
        <f t="shared" ref="B27" si="0">(B23/1000)/0.6</f>
        <v>300000</v>
      </c>
      <c r="C27" s="14">
        <f>(C23/1000)/0.6</f>
        <v>460000</v>
      </c>
      <c r="D27" s="7">
        <f t="shared" ref="D27:D28" si="1">C27/B27</f>
        <v>1.5333333333333334</v>
      </c>
      <c r="E27" s="3" t="s">
        <v>526</v>
      </c>
      <c r="F27" s="25"/>
    </row>
    <row r="28" spans="1:6" ht="13">
      <c r="A28" s="3" t="s">
        <v>10</v>
      </c>
      <c r="B28" s="14">
        <f t="shared" ref="B28:C28" si="2">(B24/1000)/0.6</f>
        <v>4000</v>
      </c>
      <c r="C28" s="14">
        <f t="shared" si="2"/>
        <v>4800</v>
      </c>
      <c r="D28" s="7">
        <f t="shared" si="1"/>
        <v>1.2</v>
      </c>
      <c r="F28" s="25"/>
    </row>
    <row r="29" spans="1:6" ht="13">
      <c r="A29" s="3" t="s">
        <v>529</v>
      </c>
      <c r="F29" s="25"/>
    </row>
    <row r="30" spans="1:6" ht="13">
      <c r="F30" s="25"/>
    </row>
    <row r="31" spans="1:6" s="52" customFormat="1" ht="16">
      <c r="A31" s="52" t="s">
        <v>530</v>
      </c>
    </row>
    <row r="32" spans="1:6" s="52" customFormat="1" ht="16">
      <c r="A32" s="52" t="s">
        <v>518</v>
      </c>
    </row>
    <row r="33" spans="1:17" s="52" customFormat="1" ht="16">
      <c r="A33" s="52" t="s">
        <v>279</v>
      </c>
    </row>
    <row r="34" spans="1:17" ht="13">
      <c r="A34" s="3" t="s">
        <v>147</v>
      </c>
      <c r="B34" s="3" t="s">
        <v>265</v>
      </c>
      <c r="C34" s="3" t="s">
        <v>277</v>
      </c>
      <c r="D34" s="3" t="s">
        <v>33</v>
      </c>
      <c r="G34" s="3"/>
      <c r="H34" s="3"/>
    </row>
    <row r="35" spans="1:17" ht="13">
      <c r="A35" s="3" t="s">
        <v>18</v>
      </c>
      <c r="B35" s="4">
        <v>62200</v>
      </c>
      <c r="C35" s="4">
        <v>51130</v>
      </c>
      <c r="D35" s="3"/>
      <c r="G35" s="3"/>
      <c r="H35" s="3"/>
    </row>
    <row r="36" spans="1:17" ht="13">
      <c r="A36" s="3" t="s">
        <v>9</v>
      </c>
      <c r="B36" s="4">
        <v>178320</v>
      </c>
      <c r="C36" s="4">
        <v>71270</v>
      </c>
      <c r="E36" s="48"/>
      <c r="G36" s="3"/>
      <c r="H36" s="3"/>
    </row>
    <row r="37" spans="1:17" ht="13">
      <c r="A37" s="3" t="s">
        <v>74</v>
      </c>
      <c r="B37" s="4">
        <v>624</v>
      </c>
      <c r="C37" s="4">
        <v>230</v>
      </c>
      <c r="E37" s="48"/>
      <c r="G37" s="3"/>
      <c r="H37" s="3"/>
    </row>
    <row r="38" spans="1:17" ht="13">
      <c r="A38" s="48"/>
      <c r="B38" s="3"/>
      <c r="C38" s="3"/>
      <c r="E38" s="48"/>
      <c r="G38" s="3"/>
      <c r="H38" s="3"/>
    </row>
    <row r="39" spans="1:17" ht="13">
      <c r="A39" s="25" t="s">
        <v>147</v>
      </c>
      <c r="B39" s="3" t="s">
        <v>267</v>
      </c>
      <c r="C39" s="3" t="s">
        <v>533</v>
      </c>
      <c r="D39" s="25" t="s">
        <v>33</v>
      </c>
      <c r="G39" s="25"/>
      <c r="H39" s="25"/>
      <c r="I39" s="25"/>
      <c r="J39" s="8"/>
      <c r="K39" s="8"/>
      <c r="L39" s="8"/>
      <c r="M39" s="8"/>
      <c r="N39" s="48"/>
      <c r="O39" s="48"/>
      <c r="P39" s="48"/>
      <c r="Q39" s="48"/>
    </row>
    <row r="40" spans="1:17" ht="13">
      <c r="A40" s="25" t="s">
        <v>18</v>
      </c>
      <c r="B40" s="7">
        <f>B35*1.53</f>
        <v>95166</v>
      </c>
      <c r="C40" s="7">
        <f>C35*1.53</f>
        <v>78228.899999999994</v>
      </c>
      <c r="D40" s="51" t="s">
        <v>534</v>
      </c>
      <c r="G40" s="25"/>
      <c r="H40" s="25"/>
      <c r="I40" s="25"/>
      <c r="J40" s="8"/>
      <c r="K40" s="8"/>
      <c r="L40" s="8"/>
      <c r="M40" s="8"/>
      <c r="N40" s="48"/>
      <c r="O40" s="48"/>
      <c r="P40" s="48"/>
      <c r="Q40" s="48"/>
    </row>
    <row r="41" spans="1:17" ht="13">
      <c r="A41" s="25" t="s">
        <v>9</v>
      </c>
      <c r="B41" s="7">
        <f>B36*1.53</f>
        <v>272829.59999999998</v>
      </c>
      <c r="C41" s="7">
        <f>C36*1.53</f>
        <v>109043.1</v>
      </c>
      <c r="D41" s="51" t="s">
        <v>534</v>
      </c>
      <c r="G41" s="25"/>
      <c r="H41" s="25"/>
      <c r="I41" s="25"/>
      <c r="J41" s="8"/>
      <c r="K41" s="8"/>
      <c r="L41" s="8"/>
      <c r="M41" s="8"/>
      <c r="N41" s="48"/>
      <c r="O41" s="48"/>
      <c r="P41" s="48"/>
      <c r="Q41" s="48"/>
    </row>
    <row r="42" spans="1:17" ht="13">
      <c r="A42" s="25" t="s">
        <v>74</v>
      </c>
      <c r="B42" s="27">
        <v>624</v>
      </c>
      <c r="C42" s="27">
        <v>230</v>
      </c>
      <c r="G42" s="25"/>
      <c r="H42" s="25"/>
      <c r="I42" s="25"/>
      <c r="J42" s="8"/>
      <c r="K42" s="8"/>
      <c r="L42" s="8"/>
      <c r="M42" s="8"/>
      <c r="N42" s="48"/>
      <c r="O42" s="48"/>
      <c r="P42" s="48"/>
      <c r="Q42" s="48"/>
    </row>
    <row r="43" spans="1:17" ht="13">
      <c r="A43" s="48"/>
      <c r="B43" s="25"/>
      <c r="C43" s="25"/>
      <c r="G43" s="25"/>
      <c r="H43" s="25"/>
      <c r="I43" s="25"/>
      <c r="J43" s="8"/>
      <c r="K43" s="8"/>
      <c r="L43" s="8"/>
      <c r="M43" s="8"/>
      <c r="N43" s="48"/>
      <c r="O43" s="48"/>
      <c r="P43" s="48"/>
      <c r="Q43" s="48"/>
    </row>
    <row r="44" spans="1:17" ht="13">
      <c r="B44" s="3" t="s">
        <v>537</v>
      </c>
      <c r="J44" s="8"/>
      <c r="K44" s="8"/>
      <c r="L44" s="8"/>
      <c r="M44" s="8"/>
      <c r="N44" s="48"/>
      <c r="O44" s="48"/>
      <c r="P44" s="48"/>
      <c r="Q44" s="48"/>
    </row>
    <row r="45" spans="1:17" ht="13">
      <c r="A45" s="3" t="s">
        <v>35</v>
      </c>
      <c r="B45" s="3" t="s">
        <v>265</v>
      </c>
      <c r="C45" s="3" t="s">
        <v>277</v>
      </c>
      <c r="D45" s="3" t="s">
        <v>535</v>
      </c>
      <c r="E45" s="25" t="s">
        <v>536</v>
      </c>
      <c r="J45" s="8"/>
      <c r="K45" s="8"/>
      <c r="L45" s="8"/>
      <c r="M45" s="8"/>
      <c r="N45" s="48"/>
      <c r="O45" s="48"/>
      <c r="P45" s="48"/>
      <c r="Q45" s="48"/>
    </row>
    <row r="46" spans="1:17" ht="13">
      <c r="A46" s="3" t="s">
        <v>38</v>
      </c>
      <c r="B46" s="8">
        <f>B36/1.6</f>
        <v>111450</v>
      </c>
      <c r="C46" s="8">
        <f>C36/1.6</f>
        <v>44543.75</v>
      </c>
      <c r="D46" s="8">
        <f>B40/1.6</f>
        <v>59478.75</v>
      </c>
      <c r="E46" s="8">
        <f>C40/1.6</f>
        <v>48893.062499999993</v>
      </c>
      <c r="J46" s="8"/>
      <c r="K46" s="8"/>
      <c r="L46" s="8"/>
      <c r="M46" s="8"/>
      <c r="N46" s="48"/>
      <c r="O46" s="48"/>
      <c r="P46" s="48"/>
      <c r="Q46" s="48"/>
    </row>
    <row r="47" spans="1:17" ht="13">
      <c r="A47" s="3" t="s">
        <v>40</v>
      </c>
      <c r="B47" s="8">
        <f>B36/2.5</f>
        <v>71328</v>
      </c>
      <c r="C47" s="8">
        <f>C36/2.5</f>
        <v>28508</v>
      </c>
      <c r="D47" s="8">
        <f>B41/2.5</f>
        <v>109131.84</v>
      </c>
      <c r="E47" s="8">
        <f>C41/2.5</f>
        <v>43617.240000000005</v>
      </c>
      <c r="J47" s="8"/>
      <c r="K47" s="8"/>
      <c r="L47" s="8"/>
      <c r="M47" s="8"/>
      <c r="N47" s="48"/>
      <c r="O47" s="48"/>
      <c r="P47" s="48"/>
      <c r="Q47" s="48"/>
    </row>
    <row r="48" spans="1:17" ht="13">
      <c r="B48" s="3" t="s">
        <v>538</v>
      </c>
      <c r="J48" s="8"/>
      <c r="K48" s="8"/>
      <c r="L48" s="8"/>
      <c r="M48" s="8"/>
      <c r="N48" s="48"/>
      <c r="O48" s="48"/>
      <c r="P48" s="48"/>
      <c r="Q48" s="48"/>
    </row>
    <row r="49" spans="1:17" ht="13">
      <c r="B49" s="3" t="s">
        <v>265</v>
      </c>
      <c r="C49" s="3" t="s">
        <v>277</v>
      </c>
      <c r="D49" s="25" t="s">
        <v>535</v>
      </c>
      <c r="E49" s="3" t="s">
        <v>536</v>
      </c>
      <c r="J49" s="8"/>
      <c r="K49" s="8"/>
      <c r="L49" s="8"/>
      <c r="M49" s="8"/>
      <c r="N49" s="48"/>
      <c r="O49" s="48"/>
      <c r="P49" s="48"/>
      <c r="Q49" s="48"/>
    </row>
    <row r="50" spans="1:17" ht="13">
      <c r="A50" s="3" t="s">
        <v>46</v>
      </c>
      <c r="B50" s="8">
        <f>B46*165</f>
        <v>18389250</v>
      </c>
      <c r="C50" s="8">
        <f>C46*165</f>
        <v>7349718.75</v>
      </c>
      <c r="D50" s="8">
        <f>D46*165</f>
        <v>9813993.75</v>
      </c>
      <c r="E50" s="8">
        <f>E46*165</f>
        <v>8067355.3124999991</v>
      </c>
      <c r="J50" s="8"/>
      <c r="K50" s="8"/>
      <c r="L50" s="8"/>
      <c r="M50" s="8"/>
      <c r="N50" s="48"/>
      <c r="O50" s="48"/>
      <c r="P50" s="48"/>
      <c r="Q50" s="48"/>
    </row>
    <row r="51" spans="1:17" ht="13">
      <c r="A51" s="3" t="s">
        <v>48</v>
      </c>
      <c r="B51" s="8">
        <f>B47*400</f>
        <v>28531200</v>
      </c>
      <c r="C51" s="8">
        <f>C47*400</f>
        <v>11403200</v>
      </c>
      <c r="D51" s="8">
        <f>D47*400</f>
        <v>43652736</v>
      </c>
      <c r="E51" s="8">
        <f>E47*400</f>
        <v>17446896.000000004</v>
      </c>
      <c r="F51" s="48"/>
      <c r="G51" s="48"/>
      <c r="H51" s="48"/>
      <c r="I51" s="48"/>
      <c r="N51" s="48"/>
      <c r="O51" s="48"/>
      <c r="P51" s="48"/>
      <c r="Q51" s="48"/>
    </row>
    <row r="52" spans="1:17" ht="13">
      <c r="A52" s="25"/>
      <c r="B52" s="8"/>
      <c r="C52" s="8"/>
      <c r="D52" s="8"/>
      <c r="E52" s="8"/>
      <c r="F52" s="48"/>
      <c r="G52" s="48"/>
      <c r="H52" s="48"/>
      <c r="I52" s="48"/>
      <c r="N52" s="48"/>
      <c r="O52" s="48"/>
      <c r="P52" s="48"/>
      <c r="Q52" s="48"/>
    </row>
    <row r="53" spans="1:17" ht="13">
      <c r="A53" s="25"/>
      <c r="B53" s="3" t="s">
        <v>539</v>
      </c>
      <c r="D53" s="3"/>
      <c r="E53" s="3"/>
      <c r="F53" s="48"/>
      <c r="G53" s="48"/>
      <c r="H53" s="48"/>
      <c r="I53" s="48"/>
      <c r="N53" s="48"/>
      <c r="O53" s="48"/>
      <c r="P53" s="48"/>
      <c r="Q53" s="48"/>
    </row>
    <row r="54" spans="1:17" ht="13">
      <c r="A54" s="25"/>
      <c r="B54" s="3" t="s">
        <v>265</v>
      </c>
      <c r="C54" s="3" t="s">
        <v>277</v>
      </c>
      <c r="D54" s="25" t="s">
        <v>535</v>
      </c>
      <c r="E54" s="25" t="s">
        <v>536</v>
      </c>
      <c r="F54" s="48"/>
      <c r="G54" s="48"/>
      <c r="H54" s="48"/>
      <c r="I54" s="48"/>
      <c r="N54" s="48"/>
      <c r="O54" s="48"/>
      <c r="P54" s="48"/>
      <c r="Q54" s="48"/>
    </row>
    <row r="55" spans="1:17" ht="13">
      <c r="A55" s="25" t="s">
        <v>46</v>
      </c>
      <c r="B55" s="7">
        <f>B50/1000</f>
        <v>18389.25</v>
      </c>
      <c r="C55" s="7">
        <f>C50/1000</f>
        <v>7349.71875</v>
      </c>
      <c r="D55" s="7">
        <f>D50/1000</f>
        <v>9813.9937499999996</v>
      </c>
      <c r="E55" s="7">
        <f>E50/1000</f>
        <v>8067.3553124999989</v>
      </c>
      <c r="F55" s="48"/>
      <c r="G55" s="48"/>
      <c r="H55" s="48"/>
      <c r="I55" s="48"/>
      <c r="N55" s="48"/>
      <c r="O55" s="48"/>
      <c r="P55" s="48"/>
      <c r="Q55" s="48"/>
    </row>
    <row r="56" spans="1:17" ht="13">
      <c r="A56" s="25" t="s">
        <v>48</v>
      </c>
      <c r="B56" s="7">
        <f>B51/1000</f>
        <v>28531.200000000001</v>
      </c>
      <c r="C56" s="7">
        <f>C51/1000</f>
        <v>11403.2</v>
      </c>
      <c r="D56" s="7">
        <f>D51/1000</f>
        <v>43652.735999999997</v>
      </c>
      <c r="E56" s="7">
        <f>E51/1000</f>
        <v>17446.896000000004</v>
      </c>
      <c r="F56" s="48"/>
      <c r="G56" s="48"/>
      <c r="H56" s="48"/>
      <c r="I56" s="48"/>
      <c r="N56" s="48"/>
      <c r="O56" s="48"/>
      <c r="P56" s="48"/>
      <c r="Q56" s="48"/>
    </row>
    <row r="57" spans="1:17" ht="13">
      <c r="A57" s="25"/>
      <c r="B57" s="8"/>
      <c r="C57" s="8"/>
      <c r="D57" s="8"/>
      <c r="E57" s="8"/>
      <c r="F57" s="48"/>
      <c r="G57" s="48"/>
      <c r="H57" s="48"/>
      <c r="I57" s="48"/>
      <c r="N57" s="48"/>
      <c r="O57" s="48"/>
      <c r="P57" s="48"/>
      <c r="Q57" s="48"/>
    </row>
    <row r="58" spans="1:17" ht="13">
      <c r="A58" s="25"/>
      <c r="B58" s="8"/>
      <c r="C58" s="8"/>
      <c r="D58" s="8"/>
      <c r="E58" s="8"/>
      <c r="F58" s="48"/>
      <c r="G58" s="48"/>
      <c r="H58" s="48"/>
      <c r="I58" s="48"/>
      <c r="N58" s="48"/>
      <c r="O58" s="48"/>
      <c r="P58" s="48"/>
      <c r="Q58" s="48"/>
    </row>
    <row r="59" spans="1:17" s="52" customFormat="1" ht="16">
      <c r="A59" s="53" t="s">
        <v>280</v>
      </c>
      <c r="N59" s="53"/>
      <c r="O59" s="53"/>
      <c r="P59" s="53"/>
      <c r="Q59" s="53"/>
    </row>
    <row r="60" spans="1:17" s="52" customFormat="1" ht="16">
      <c r="A60" s="53" t="s">
        <v>224</v>
      </c>
    </row>
    <row r="61" spans="1:17" s="52" customFormat="1" ht="16">
      <c r="A61" s="53" t="s">
        <v>225</v>
      </c>
    </row>
    <row r="62" spans="1:17" ht="14">
      <c r="A62" s="23"/>
    </row>
    <row r="63" spans="1:17" ht="16">
      <c r="A63" s="24" t="s">
        <v>226</v>
      </c>
      <c r="B63" s="3" t="s">
        <v>266</v>
      </c>
      <c r="C63" s="3" t="s">
        <v>33</v>
      </c>
    </row>
    <row r="64" spans="1:17" ht="16">
      <c r="A64" s="24" t="s">
        <v>74</v>
      </c>
      <c r="B64" s="3">
        <v>1.3</v>
      </c>
      <c r="C64" s="3" t="s">
        <v>541</v>
      </c>
    </row>
    <row r="65" spans="1:13" ht="16">
      <c r="A65" s="24" t="s">
        <v>9</v>
      </c>
      <c r="B65" s="3">
        <v>159</v>
      </c>
    </row>
    <row r="66" spans="1:13" ht="13">
      <c r="A66" s="25" t="s">
        <v>281</v>
      </c>
      <c r="B66" s="3">
        <v>52</v>
      </c>
    </row>
    <row r="67" spans="1:13" ht="13"/>
    <row r="68" spans="1:13" ht="16">
      <c r="A68" s="24" t="s">
        <v>226</v>
      </c>
      <c r="B68" s="3" t="s">
        <v>266</v>
      </c>
      <c r="C68" s="3" t="s">
        <v>540</v>
      </c>
    </row>
    <row r="69" spans="1:13" ht="13">
      <c r="A69" s="48" t="s">
        <v>74</v>
      </c>
      <c r="B69" s="7">
        <f>B64*1000</f>
        <v>1300</v>
      </c>
    </row>
    <row r="70" spans="1:13" ht="13">
      <c r="A70" s="48" t="s">
        <v>9</v>
      </c>
      <c r="B70" s="7">
        <f>B65*1000</f>
        <v>159000</v>
      </c>
      <c r="C70" s="7">
        <f t="shared" ref="C70:C71" si="3">B70*1.53</f>
        <v>243270</v>
      </c>
    </row>
    <row r="71" spans="1:13" ht="13">
      <c r="A71" s="48" t="s">
        <v>281</v>
      </c>
      <c r="B71" s="7">
        <f>B66*1000</f>
        <v>52000</v>
      </c>
      <c r="C71" s="7">
        <f t="shared" si="3"/>
        <v>79560</v>
      </c>
    </row>
    <row r="72" spans="1:13" ht="13">
      <c r="A72" s="48"/>
      <c r="B72" s="48"/>
      <c r="K72" s="48"/>
      <c r="L72" s="48"/>
      <c r="M72" s="48"/>
    </row>
    <row r="73" spans="1:13" ht="13">
      <c r="B73" s="3" t="s">
        <v>537</v>
      </c>
      <c r="H73" s="25"/>
      <c r="I73" s="8"/>
      <c r="J73" s="8"/>
      <c r="K73" s="48"/>
      <c r="L73" s="48"/>
      <c r="M73" s="48"/>
    </row>
    <row r="74" spans="1:13" ht="13">
      <c r="A74" s="3" t="s">
        <v>35</v>
      </c>
      <c r="B74" s="3" t="s">
        <v>282</v>
      </c>
      <c r="C74" s="3" t="s">
        <v>283</v>
      </c>
      <c r="H74" s="25"/>
      <c r="I74" s="8"/>
      <c r="J74" s="8"/>
      <c r="K74" s="48"/>
      <c r="L74" s="48"/>
      <c r="M74" s="48"/>
    </row>
    <row r="75" spans="1:13" ht="13">
      <c r="A75" s="3" t="s">
        <v>38</v>
      </c>
      <c r="B75" s="8">
        <f>B70/1.6</f>
        <v>99375</v>
      </c>
      <c r="C75" s="8">
        <f>C70/1.6</f>
        <v>152043.75</v>
      </c>
      <c r="H75" s="25"/>
      <c r="I75" s="8"/>
      <c r="J75" s="8"/>
      <c r="K75" s="48"/>
      <c r="L75" s="48"/>
      <c r="M75" s="48"/>
    </row>
    <row r="76" spans="1:13" ht="13">
      <c r="A76" s="3" t="s">
        <v>40</v>
      </c>
      <c r="B76" s="8">
        <f>B70/2.5</f>
        <v>63600</v>
      </c>
      <c r="C76" s="8">
        <f>C70/2.5</f>
        <v>97308</v>
      </c>
      <c r="H76" s="25"/>
      <c r="I76" s="8"/>
      <c r="J76" s="8"/>
      <c r="K76" s="48"/>
      <c r="L76" s="48"/>
      <c r="M76" s="48"/>
    </row>
    <row r="77" spans="1:13" ht="13">
      <c r="A77" s="48"/>
      <c r="B77" s="48"/>
      <c r="H77" s="25"/>
      <c r="I77" s="8"/>
      <c r="J77" s="8"/>
      <c r="K77" s="48"/>
      <c r="L77" s="48"/>
      <c r="M77" s="48"/>
    </row>
    <row r="78" spans="1:13" ht="13">
      <c r="B78" s="3" t="s">
        <v>538</v>
      </c>
      <c r="H78" s="25"/>
      <c r="I78" s="8"/>
      <c r="J78" s="8"/>
      <c r="K78" s="48"/>
      <c r="L78" s="48"/>
      <c r="M78" s="48"/>
    </row>
    <row r="79" spans="1:13" ht="13">
      <c r="B79" s="3" t="s">
        <v>282</v>
      </c>
      <c r="C79" s="3" t="s">
        <v>283</v>
      </c>
      <c r="H79" s="25"/>
      <c r="I79" s="8"/>
      <c r="J79" s="8"/>
      <c r="K79" s="48"/>
      <c r="L79" s="48"/>
      <c r="M79" s="48"/>
    </row>
    <row r="80" spans="1:13" ht="13">
      <c r="A80" s="3" t="s">
        <v>46</v>
      </c>
      <c r="B80" s="8">
        <f>B75*165</f>
        <v>16396875</v>
      </c>
      <c r="C80" s="8">
        <f>C75*165</f>
        <v>25087218.75</v>
      </c>
      <c r="H80" s="25"/>
      <c r="I80" s="8"/>
      <c r="J80" s="8"/>
      <c r="K80" s="48"/>
      <c r="L80" s="48"/>
      <c r="M80" s="48"/>
    </row>
    <row r="81" spans="1:15" ht="15.75" customHeight="1">
      <c r="A81" s="3" t="s">
        <v>48</v>
      </c>
      <c r="B81" s="8">
        <f>B76*400</f>
        <v>25440000</v>
      </c>
      <c r="C81" s="8">
        <f>C76*400</f>
        <v>38923200</v>
      </c>
      <c r="K81" s="48"/>
      <c r="L81" s="48"/>
      <c r="M81" s="48"/>
    </row>
    <row r="82" spans="1:15" ht="15.75" customHeight="1">
      <c r="A82" s="25"/>
      <c r="B82" s="8"/>
      <c r="C82" s="8"/>
      <c r="D82" s="48"/>
      <c r="E82" s="48"/>
    </row>
    <row r="83" spans="1:15" ht="15.75" customHeight="1">
      <c r="A83" s="25"/>
      <c r="B83" s="3" t="s">
        <v>539</v>
      </c>
      <c r="D83" s="48"/>
      <c r="E83" s="48"/>
    </row>
    <row r="84" spans="1:15" ht="15.75" customHeight="1">
      <c r="A84" s="25"/>
      <c r="B84" s="3" t="s">
        <v>282</v>
      </c>
      <c r="C84" s="3" t="s">
        <v>283</v>
      </c>
      <c r="D84" s="48"/>
      <c r="E84" s="48"/>
    </row>
    <row r="85" spans="1:15" ht="15.75" customHeight="1">
      <c r="A85" s="25" t="s">
        <v>46</v>
      </c>
      <c r="B85" s="7">
        <f>B80/1000</f>
        <v>16396.875</v>
      </c>
      <c r="C85" s="7">
        <f>C80/1000</f>
        <v>25087.21875</v>
      </c>
      <c r="D85" s="48"/>
      <c r="E85" s="48"/>
    </row>
    <row r="86" spans="1:15" ht="15.75" customHeight="1">
      <c r="A86" s="25" t="s">
        <v>48</v>
      </c>
      <c r="B86" s="7">
        <f>B81/1000</f>
        <v>25440</v>
      </c>
      <c r="C86" s="7">
        <f>C81/1000</f>
        <v>38923.199999999997</v>
      </c>
      <c r="D86" s="48"/>
      <c r="E86" s="48"/>
    </row>
    <row r="87" spans="1:15" s="48" customFormat="1" ht="13"/>
    <row r="88" spans="1:15" s="52" customFormat="1" ht="16">
      <c r="A88" s="52" t="s">
        <v>284</v>
      </c>
    </row>
    <row r="89" spans="1:15" s="52" customFormat="1" ht="16">
      <c r="A89" s="52" t="s">
        <v>285</v>
      </c>
    </row>
    <row r="90" spans="1:15" ht="13">
      <c r="A90" s="3" t="s">
        <v>286</v>
      </c>
      <c r="M90" s="48"/>
      <c r="N90" s="48"/>
      <c r="O90" s="48"/>
    </row>
    <row r="91" spans="1:15" ht="13">
      <c r="A91" s="3" t="s">
        <v>287</v>
      </c>
      <c r="B91" s="3" t="s">
        <v>265</v>
      </c>
      <c r="C91" s="3" t="s">
        <v>288</v>
      </c>
      <c r="D91" s="3" t="s">
        <v>278</v>
      </c>
    </row>
    <row r="92" spans="1:15" ht="13">
      <c r="A92" s="3" t="s">
        <v>9</v>
      </c>
      <c r="B92" s="4">
        <v>158758</v>
      </c>
      <c r="C92" s="3">
        <v>6962</v>
      </c>
      <c r="D92" s="7">
        <f t="shared" ref="D92:D93" si="4">B92*1.53</f>
        <v>242899.74</v>
      </c>
    </row>
    <row r="93" spans="1:15" ht="13">
      <c r="A93" s="3" t="s">
        <v>281</v>
      </c>
      <c r="B93" s="4">
        <f>50721+619</f>
        <v>51340</v>
      </c>
      <c r="C93" s="3">
        <v>1764</v>
      </c>
      <c r="D93" s="7">
        <f t="shared" si="4"/>
        <v>78550.2</v>
      </c>
    </row>
    <row r="94" spans="1:15" ht="13">
      <c r="A94" s="3" t="s">
        <v>6</v>
      </c>
      <c r="B94" s="4">
        <v>419</v>
      </c>
      <c r="C94" s="3">
        <v>310</v>
      </c>
      <c r="D94" s="7"/>
    </row>
    <row r="95" spans="1:15" ht="13">
      <c r="A95" s="3"/>
      <c r="B95" s="3"/>
    </row>
    <row r="96" spans="1:15" ht="13">
      <c r="A96" s="48"/>
      <c r="B96" s="54" t="s">
        <v>537</v>
      </c>
      <c r="C96" s="48"/>
      <c r="D96" s="48"/>
      <c r="E96" s="48"/>
    </row>
    <row r="97" spans="1:12" ht="13">
      <c r="A97" s="3" t="s">
        <v>35</v>
      </c>
      <c r="B97" s="3" t="s">
        <v>265</v>
      </c>
      <c r="C97" s="3" t="s">
        <v>535</v>
      </c>
    </row>
    <row r="98" spans="1:12" ht="13">
      <c r="A98" s="3" t="s">
        <v>38</v>
      </c>
      <c r="B98" s="8">
        <f>B92/1.6</f>
        <v>99223.75</v>
      </c>
      <c r="C98" s="8">
        <f>D92/1.6</f>
        <v>151812.33749999999</v>
      </c>
      <c r="H98" s="25"/>
      <c r="I98" s="8"/>
      <c r="J98" s="8"/>
      <c r="K98" s="48"/>
      <c r="L98" s="48"/>
    </row>
    <row r="99" spans="1:12" ht="13">
      <c r="A99" s="3" t="s">
        <v>40</v>
      </c>
      <c r="B99" s="8">
        <f>B92/2.5</f>
        <v>63503.199999999997</v>
      </c>
      <c r="C99" s="8">
        <f>D92/2.5</f>
        <v>97159.895999999993</v>
      </c>
      <c r="H99" s="25"/>
      <c r="I99" s="8"/>
      <c r="J99" s="8"/>
      <c r="K99" s="48"/>
      <c r="L99" s="48"/>
    </row>
    <row r="100" spans="1:12" ht="13">
      <c r="B100" s="3" t="s">
        <v>538</v>
      </c>
      <c r="H100" s="25"/>
      <c r="I100" s="8"/>
      <c r="J100" s="8"/>
      <c r="K100" s="48"/>
      <c r="L100" s="48"/>
    </row>
    <row r="101" spans="1:12" ht="13">
      <c r="B101" s="3" t="s">
        <v>265</v>
      </c>
      <c r="C101" s="25" t="s">
        <v>535</v>
      </c>
      <c r="H101" s="25"/>
      <c r="I101" s="8"/>
      <c r="J101" s="8"/>
      <c r="K101" s="48"/>
      <c r="L101" s="48"/>
    </row>
    <row r="102" spans="1:12" ht="13">
      <c r="A102" s="3" t="s">
        <v>46</v>
      </c>
      <c r="B102" s="8">
        <f t="shared" ref="B102:C102" si="5">B98*165</f>
        <v>16371918.75</v>
      </c>
      <c r="C102" s="8">
        <f t="shared" si="5"/>
        <v>25049035.6875</v>
      </c>
      <c r="H102" s="25"/>
      <c r="I102" s="8"/>
      <c r="J102" s="8"/>
      <c r="K102" s="48"/>
      <c r="L102" s="48"/>
    </row>
    <row r="103" spans="1:12" ht="13">
      <c r="A103" s="3" t="s">
        <v>48</v>
      </c>
      <c r="B103" s="8">
        <f t="shared" ref="B103:C103" si="6">B99*400</f>
        <v>25401280</v>
      </c>
      <c r="C103" s="8">
        <f t="shared" si="6"/>
        <v>38863958.399999999</v>
      </c>
      <c r="H103" s="25"/>
      <c r="I103" s="8"/>
      <c r="J103" s="8"/>
      <c r="K103" s="48"/>
      <c r="L103" s="48"/>
    </row>
    <row r="104" spans="1:12" ht="13">
      <c r="H104" s="25"/>
      <c r="I104" s="8"/>
      <c r="J104" s="8"/>
      <c r="K104" s="48"/>
      <c r="L104" s="48"/>
    </row>
    <row r="105" spans="1:12" ht="13">
      <c r="B105" s="3" t="s">
        <v>539</v>
      </c>
      <c r="H105" s="25"/>
      <c r="I105" s="8"/>
      <c r="J105" s="8"/>
      <c r="K105" s="48"/>
      <c r="L105" s="48"/>
    </row>
    <row r="106" spans="1:12" ht="13">
      <c r="B106" s="3" t="s">
        <v>265</v>
      </c>
      <c r="C106" s="25" t="s">
        <v>535</v>
      </c>
      <c r="H106" s="25"/>
      <c r="I106" s="8"/>
      <c r="J106" s="8"/>
      <c r="K106" s="48"/>
      <c r="L106" s="48"/>
    </row>
    <row r="107" spans="1:12" ht="13">
      <c r="A107" s="25" t="s">
        <v>46</v>
      </c>
      <c r="B107" s="7">
        <f>B102/1000</f>
        <v>16371.918750000001</v>
      </c>
      <c r="C107" s="7">
        <f>C102/1000</f>
        <v>25049.0356875</v>
      </c>
      <c r="H107" s="25"/>
      <c r="I107" s="8"/>
      <c r="J107" s="8"/>
      <c r="K107" s="48"/>
      <c r="L107" s="48"/>
    </row>
    <row r="108" spans="1:12" ht="13">
      <c r="A108" s="25" t="s">
        <v>48</v>
      </c>
      <c r="B108" s="7">
        <f>B103/1000</f>
        <v>25401.279999999999</v>
      </c>
      <c r="C108" s="7">
        <f>C103/1000</f>
        <v>38863.958399999996</v>
      </c>
      <c r="H108" s="25"/>
      <c r="I108" s="8"/>
      <c r="J108" s="8"/>
      <c r="K108" s="48"/>
      <c r="L108" s="48"/>
    </row>
    <row r="109" spans="1:12" ht="13">
      <c r="B109" s="48"/>
      <c r="C109" s="48"/>
      <c r="H109" s="25"/>
      <c r="I109" s="8"/>
      <c r="J109" s="8"/>
      <c r="K109" s="48"/>
      <c r="L109" s="48"/>
    </row>
    <row r="110" spans="1:12" s="52" customFormat="1" ht="16">
      <c r="A110" s="52" t="s">
        <v>289</v>
      </c>
    </row>
    <row r="111" spans="1:12" s="52" customFormat="1" ht="16">
      <c r="A111" s="52" t="s">
        <v>290</v>
      </c>
    </row>
    <row r="112" spans="1:12" ht="13">
      <c r="A112" s="3" t="s">
        <v>291</v>
      </c>
    </row>
    <row r="113" spans="1:3" ht="13">
      <c r="A113" s="3" t="s">
        <v>32</v>
      </c>
      <c r="B113" s="3" t="s">
        <v>265</v>
      </c>
      <c r="C113" s="25" t="s">
        <v>535</v>
      </c>
    </row>
    <row r="114" spans="1:3" ht="13">
      <c r="A114" s="3" t="s">
        <v>6</v>
      </c>
      <c r="B114" s="4">
        <v>255</v>
      </c>
      <c r="C114" s="7"/>
    </row>
    <row r="115" spans="1:3" ht="13">
      <c r="A115" s="3" t="s">
        <v>9</v>
      </c>
      <c r="B115" s="4">
        <v>74257</v>
      </c>
      <c r="C115" s="7">
        <f>B115*1.53</f>
        <v>113613.21</v>
      </c>
    </row>
    <row r="116" spans="1:3" ht="13">
      <c r="A116" s="3" t="s">
        <v>10</v>
      </c>
      <c r="B116" s="4">
        <v>454</v>
      </c>
      <c r="C116" s="7">
        <f>B116*1.2</f>
        <v>544.79999999999995</v>
      </c>
    </row>
    <row r="117" spans="1:3" ht="13">
      <c r="A117" s="3" t="s">
        <v>14</v>
      </c>
      <c r="B117" s="4">
        <v>112</v>
      </c>
      <c r="C117" s="7"/>
    </row>
    <row r="118" spans="1:3" ht="13">
      <c r="A118" s="3" t="s">
        <v>16</v>
      </c>
      <c r="B118" s="4">
        <v>10</v>
      </c>
      <c r="C118" s="7"/>
    </row>
    <row r="119" spans="1:3" ht="13">
      <c r="A119" s="3" t="s">
        <v>5</v>
      </c>
      <c r="B119" s="4">
        <v>0</v>
      </c>
      <c r="C119" s="7"/>
    </row>
    <row r="120" spans="1:3" ht="13">
      <c r="A120" s="3" t="s">
        <v>292</v>
      </c>
      <c r="B120" s="7">
        <f>39681+612</f>
        <v>40293</v>
      </c>
      <c r="C120" s="7">
        <f>B120*1.53</f>
        <v>61648.29</v>
      </c>
    </row>
    <row r="121" spans="1:3" ht="13">
      <c r="A121" s="3" t="s">
        <v>293</v>
      </c>
      <c r="B121" s="3" t="s">
        <v>294</v>
      </c>
    </row>
    <row r="122" spans="1:3" ht="13">
      <c r="A122" s="3"/>
      <c r="B122" s="3"/>
    </row>
    <row r="123" spans="1:3" ht="15.75" customHeight="1">
      <c r="B123" s="3" t="s">
        <v>537</v>
      </c>
    </row>
    <row r="124" spans="1:3" ht="15.75" customHeight="1">
      <c r="A124" s="3" t="s">
        <v>35</v>
      </c>
      <c r="B124" s="3" t="s">
        <v>265</v>
      </c>
      <c r="C124" s="25" t="s">
        <v>535</v>
      </c>
    </row>
    <row r="125" spans="1:3" ht="15.75" customHeight="1">
      <c r="A125" s="3" t="s">
        <v>38</v>
      </c>
      <c r="B125" s="8">
        <f>B115/1.6</f>
        <v>46410.625</v>
      </c>
      <c r="C125" s="8">
        <f>C115/1.6</f>
        <v>71008.256250000006</v>
      </c>
    </row>
    <row r="126" spans="1:3" ht="15.75" customHeight="1">
      <c r="A126" s="3" t="s">
        <v>40</v>
      </c>
      <c r="B126" s="8">
        <f>B115/2.5</f>
        <v>29702.799999999999</v>
      </c>
      <c r="C126" s="8">
        <f>C115/2.5</f>
        <v>45445.284</v>
      </c>
    </row>
    <row r="127" spans="1:3" ht="15.75" customHeight="1">
      <c r="B127" s="3" t="s">
        <v>538</v>
      </c>
    </row>
    <row r="128" spans="1:3" ht="15.75" customHeight="1">
      <c r="B128" s="3" t="s">
        <v>265</v>
      </c>
      <c r="C128" s="25" t="s">
        <v>535</v>
      </c>
    </row>
    <row r="129" spans="1:3" ht="15.75" customHeight="1">
      <c r="A129" s="3" t="s">
        <v>46</v>
      </c>
      <c r="B129" s="8">
        <f t="shared" ref="B129:C129" si="7">B125*165</f>
        <v>7657753.125</v>
      </c>
      <c r="C129" s="8">
        <f t="shared" si="7"/>
        <v>11716362.281250002</v>
      </c>
    </row>
    <row r="130" spans="1:3" ht="15.75" customHeight="1">
      <c r="A130" s="3" t="s">
        <v>48</v>
      </c>
      <c r="B130" s="8">
        <f t="shared" ref="B130:C130" si="8">B126*400</f>
        <v>11881120</v>
      </c>
      <c r="C130" s="8">
        <f t="shared" si="8"/>
        <v>18178113.600000001</v>
      </c>
    </row>
    <row r="132" spans="1:3" ht="15.75" customHeight="1">
      <c r="B132" s="25" t="s">
        <v>539</v>
      </c>
    </row>
    <row r="133" spans="1:3" ht="15.75" customHeight="1">
      <c r="B133" s="3" t="s">
        <v>265</v>
      </c>
      <c r="C133" s="25" t="s">
        <v>535</v>
      </c>
    </row>
    <row r="134" spans="1:3" ht="15.75" customHeight="1">
      <c r="A134" s="25" t="s">
        <v>46</v>
      </c>
      <c r="B134" s="7">
        <f>B129/1000</f>
        <v>7657.7531250000002</v>
      </c>
      <c r="C134" s="7">
        <f>C129/1000</f>
        <v>11716.362281250002</v>
      </c>
    </row>
    <row r="135" spans="1:3" ht="15.75" customHeight="1">
      <c r="A135" s="25" t="s">
        <v>48</v>
      </c>
      <c r="B135" s="7">
        <f>B130/1000</f>
        <v>11881.12</v>
      </c>
      <c r="C135" s="7">
        <f>C130/1000</f>
        <v>18178.113600000001</v>
      </c>
    </row>
    <row r="137" spans="1:3" s="52" customFormat="1" ht="16">
      <c r="A137" s="52" t="s">
        <v>296</v>
      </c>
    </row>
    <row r="138" spans="1:3" s="52" customFormat="1" ht="16">
      <c r="A138" s="52" t="s">
        <v>297</v>
      </c>
    </row>
    <row r="139" spans="1:3" ht="13">
      <c r="A139" s="3" t="s">
        <v>298</v>
      </c>
    </row>
    <row r="140" spans="1:3" ht="13">
      <c r="A140" s="3" t="s">
        <v>287</v>
      </c>
      <c r="B140" s="3" t="s">
        <v>277</v>
      </c>
      <c r="C140" s="3" t="s">
        <v>299</v>
      </c>
    </row>
    <row r="141" spans="1:3" ht="13">
      <c r="A141" s="3" t="s">
        <v>9</v>
      </c>
      <c r="B141" s="4">
        <v>97749</v>
      </c>
      <c r="C141" s="7">
        <f t="shared" ref="C141:C142" si="9">B141*1.53</f>
        <v>149555.97</v>
      </c>
    </row>
    <row r="142" spans="1:3" ht="13">
      <c r="A142" s="3" t="s">
        <v>18</v>
      </c>
      <c r="B142" s="4">
        <v>31030</v>
      </c>
      <c r="C142" s="7">
        <f t="shared" si="9"/>
        <v>47475.9</v>
      </c>
    </row>
    <row r="143" spans="1:3" ht="13">
      <c r="A143" s="3" t="s">
        <v>6</v>
      </c>
      <c r="B143" s="4">
        <v>204</v>
      </c>
    </row>
    <row r="144" spans="1:3" ht="13">
      <c r="A144" s="3"/>
      <c r="B144" s="3"/>
    </row>
    <row r="145" spans="1:12" ht="13">
      <c r="B145" s="3" t="s">
        <v>537</v>
      </c>
    </row>
    <row r="146" spans="1:12" ht="13">
      <c r="A146" s="3" t="s">
        <v>35</v>
      </c>
      <c r="B146" s="3" t="s">
        <v>277</v>
      </c>
      <c r="C146" s="3" t="s">
        <v>299</v>
      </c>
    </row>
    <row r="147" spans="1:12" ht="13">
      <c r="A147" s="3" t="s">
        <v>38</v>
      </c>
      <c r="B147" s="8">
        <f>B141/1.6</f>
        <v>61093.125</v>
      </c>
      <c r="C147" s="8">
        <f>C141/1.6</f>
        <v>93472.481249999997</v>
      </c>
      <c r="H147" s="25"/>
      <c r="I147" s="8"/>
      <c r="J147" s="8"/>
      <c r="K147" s="48"/>
      <c r="L147" s="48"/>
    </row>
    <row r="148" spans="1:12" ht="13">
      <c r="A148" s="3" t="s">
        <v>40</v>
      </c>
      <c r="B148" s="8">
        <f>B141/2.5</f>
        <v>39099.599999999999</v>
      </c>
      <c r="C148" s="8">
        <f>C141/2.5</f>
        <v>59822.387999999999</v>
      </c>
      <c r="H148" s="25"/>
      <c r="I148" s="8"/>
      <c r="J148" s="8"/>
      <c r="K148" s="48"/>
      <c r="L148" s="48"/>
    </row>
    <row r="149" spans="1:12" ht="13">
      <c r="B149" s="3" t="s">
        <v>538</v>
      </c>
      <c r="H149" s="25"/>
      <c r="I149" s="8"/>
      <c r="J149" s="8"/>
      <c r="K149" s="48"/>
      <c r="L149" s="48"/>
    </row>
    <row r="150" spans="1:12" ht="13">
      <c r="B150" s="3" t="s">
        <v>277</v>
      </c>
      <c r="C150" s="3" t="s">
        <v>299</v>
      </c>
      <c r="H150" s="25"/>
      <c r="I150" s="8"/>
      <c r="J150" s="8"/>
      <c r="K150" s="48"/>
      <c r="L150" s="48"/>
    </row>
    <row r="151" spans="1:12" ht="13">
      <c r="A151" s="3" t="s">
        <v>46</v>
      </c>
      <c r="B151" s="8">
        <f t="shared" ref="B151:C151" si="10">B147*165</f>
        <v>10080365.625</v>
      </c>
      <c r="C151" s="8">
        <f t="shared" si="10"/>
        <v>15422959.40625</v>
      </c>
      <c r="H151" s="25"/>
      <c r="I151" s="8"/>
      <c r="J151" s="8"/>
      <c r="K151" s="48"/>
      <c r="L151" s="48"/>
    </row>
    <row r="152" spans="1:12" ht="13">
      <c r="A152" s="3" t="s">
        <v>48</v>
      </c>
      <c r="B152" s="8">
        <f t="shared" ref="B152:C152" si="11">B148*400</f>
        <v>15639840</v>
      </c>
      <c r="C152" s="8">
        <f t="shared" si="11"/>
        <v>23928955.199999999</v>
      </c>
      <c r="H152" s="25"/>
      <c r="I152" s="8"/>
      <c r="J152" s="8"/>
      <c r="K152" s="48"/>
      <c r="L152" s="48"/>
    </row>
    <row r="153" spans="1:12" ht="13">
      <c r="A153" s="25"/>
      <c r="B153" s="8"/>
      <c r="C153" s="8"/>
      <c r="D153" s="48"/>
      <c r="E153" s="48"/>
      <c r="H153" s="25"/>
      <c r="I153" s="8"/>
      <c r="J153" s="8"/>
      <c r="K153" s="48"/>
      <c r="L153" s="48"/>
    </row>
    <row r="154" spans="1:12" ht="13">
      <c r="A154" s="25"/>
      <c r="B154" s="3" t="s">
        <v>539</v>
      </c>
      <c r="D154" s="48"/>
      <c r="E154" s="48"/>
      <c r="H154" s="25"/>
      <c r="I154" s="8"/>
      <c r="J154" s="8"/>
      <c r="K154" s="48"/>
      <c r="L154" s="48"/>
    </row>
    <row r="155" spans="1:12" ht="13">
      <c r="A155" s="25"/>
      <c r="B155" s="3" t="s">
        <v>277</v>
      </c>
      <c r="C155" s="3" t="s">
        <v>299</v>
      </c>
      <c r="D155" s="48"/>
      <c r="E155" s="48"/>
      <c r="H155" s="25"/>
      <c r="I155" s="8"/>
      <c r="J155" s="8"/>
      <c r="K155" s="48"/>
      <c r="L155" s="48"/>
    </row>
    <row r="156" spans="1:12" ht="13">
      <c r="A156" s="25" t="s">
        <v>46</v>
      </c>
      <c r="B156" s="7">
        <f>B151/1000</f>
        <v>10080.365625</v>
      </c>
      <c r="C156" s="7">
        <f>C151/1000</f>
        <v>15422.95940625</v>
      </c>
      <c r="D156" s="48"/>
      <c r="E156" s="48"/>
      <c r="H156" s="25"/>
      <c r="I156" s="8"/>
      <c r="J156" s="8"/>
      <c r="K156" s="48"/>
      <c r="L156" s="48"/>
    </row>
    <row r="157" spans="1:12" ht="13">
      <c r="A157" s="25" t="s">
        <v>48</v>
      </c>
      <c r="B157" s="7">
        <f>B152/1000</f>
        <v>15639.84</v>
      </c>
      <c r="C157" s="7">
        <f>C152/1000</f>
        <v>23928.9552</v>
      </c>
      <c r="H157" s="25"/>
      <c r="I157" s="8"/>
      <c r="J157" s="8"/>
      <c r="K157" s="48"/>
      <c r="L157" s="48"/>
    </row>
    <row r="158" spans="1:12" ht="13">
      <c r="H158" s="25"/>
      <c r="I158" s="8"/>
      <c r="J158" s="8"/>
      <c r="K158" s="48"/>
      <c r="L158" s="48"/>
    </row>
    <row r="159" spans="1:12" s="52" customFormat="1" ht="22.5" customHeight="1">
      <c r="A159" s="52" t="s">
        <v>294</v>
      </c>
    </row>
    <row r="160" spans="1:12" s="52" customFormat="1" ht="16">
      <c r="A160" s="52" t="s">
        <v>300</v>
      </c>
    </row>
    <row r="161" spans="1:3" ht="13">
      <c r="A161" s="3" t="s">
        <v>302</v>
      </c>
      <c r="B161" s="3" t="s">
        <v>303</v>
      </c>
      <c r="C161" s="3" t="s">
        <v>33</v>
      </c>
    </row>
    <row r="162" spans="1:3" ht="13">
      <c r="A162" s="3" t="s">
        <v>6</v>
      </c>
      <c r="B162" s="3">
        <v>225</v>
      </c>
      <c r="C162" s="3" t="s">
        <v>305</v>
      </c>
    </row>
    <row r="163" spans="1:3" ht="13">
      <c r="A163" s="3" t="s">
        <v>10</v>
      </c>
      <c r="B163" s="3" t="s">
        <v>306</v>
      </c>
      <c r="C163" s="3" t="s">
        <v>307</v>
      </c>
    </row>
    <row r="164" spans="1:3" ht="13">
      <c r="A164" s="3" t="s">
        <v>313</v>
      </c>
      <c r="B164" s="3" t="s">
        <v>314</v>
      </c>
      <c r="C164" s="6" t="s">
        <v>315</v>
      </c>
    </row>
    <row r="165" spans="1:3" ht="13">
      <c r="A165" s="3" t="s">
        <v>319</v>
      </c>
      <c r="B165" s="8">
        <f>29000+5650+540+350</f>
        <v>35540</v>
      </c>
    </row>
    <row r="166" spans="1:3" ht="13">
      <c r="A166" s="3" t="s">
        <v>14</v>
      </c>
      <c r="B166" s="3">
        <v>99</v>
      </c>
    </row>
    <row r="167" spans="1:3" ht="13">
      <c r="A167" s="3" t="s">
        <v>16</v>
      </c>
      <c r="B167" s="3">
        <v>9</v>
      </c>
    </row>
    <row r="168" spans="1:3" ht="13">
      <c r="A168" s="3" t="s">
        <v>8</v>
      </c>
      <c r="B168" s="3">
        <v>0</v>
      </c>
    </row>
    <row r="169" spans="1:3" ht="13">
      <c r="A169" s="3" t="s">
        <v>323</v>
      </c>
    </row>
    <row r="170" spans="1:3" ht="15.75" customHeight="1">
      <c r="A170" s="3" t="s">
        <v>324</v>
      </c>
    </row>
    <row r="172" spans="1:3" ht="13">
      <c r="B172" s="3" t="s">
        <v>320</v>
      </c>
    </row>
    <row r="173" spans="1:3" ht="13">
      <c r="B173" s="8">
        <f>37000*0.764555</f>
        <v>28288.535</v>
      </c>
      <c r="C173" s="8">
        <f>53500*0.764555</f>
        <v>40903.692499999997</v>
      </c>
    </row>
    <row r="174" spans="1:3" ht="13">
      <c r="B174" s="3" t="s">
        <v>316</v>
      </c>
    </row>
    <row r="175" spans="1:3" ht="13">
      <c r="B175" s="8">
        <f t="shared" ref="B175:C175" si="12">B173*2.75</f>
        <v>77793.471250000002</v>
      </c>
      <c r="C175" s="8">
        <f t="shared" si="12"/>
        <v>112485.154375</v>
      </c>
    </row>
    <row r="176" spans="1:3" ht="13"/>
    <row r="177" spans="1:5" ht="13">
      <c r="C177" s="25" t="s">
        <v>535</v>
      </c>
    </row>
    <row r="178" spans="1:5" ht="13">
      <c r="B178" s="3" t="s">
        <v>304</v>
      </c>
      <c r="C178" s="3" t="s">
        <v>542</v>
      </c>
      <c r="D178" s="3" t="s">
        <v>543</v>
      </c>
    </row>
    <row r="179" spans="1:5" ht="13">
      <c r="A179" s="3" t="s">
        <v>6</v>
      </c>
      <c r="B179" s="7">
        <f>225/0.8</f>
        <v>281.25</v>
      </c>
    </row>
    <row r="180" spans="1:5" ht="13">
      <c r="A180" s="3" t="s">
        <v>10</v>
      </c>
      <c r="B180" s="4" t="s">
        <v>308</v>
      </c>
      <c r="C180" s="7">
        <f>500*1.2</f>
        <v>600</v>
      </c>
      <c r="D180" s="7">
        <f>537.5*1.2</f>
        <v>645</v>
      </c>
    </row>
    <row r="181" spans="1:5" ht="13">
      <c r="A181" s="3" t="s">
        <v>316</v>
      </c>
      <c r="B181" s="4" t="s">
        <v>317</v>
      </c>
      <c r="C181" s="7">
        <f>77193*1.53</f>
        <v>118105.29000000001</v>
      </c>
      <c r="D181" s="7">
        <f>112485*1.53</f>
        <v>172102.05000000002</v>
      </c>
    </row>
    <row r="182" spans="1:5" ht="13">
      <c r="A182" s="3" t="s">
        <v>319</v>
      </c>
      <c r="B182" s="7">
        <f>35540/0.8</f>
        <v>44425</v>
      </c>
      <c r="C182" s="7">
        <f>44245*1.53</f>
        <v>67694.850000000006</v>
      </c>
      <c r="D182" s="7"/>
    </row>
    <row r="183" spans="1:5" ht="13">
      <c r="A183" s="3" t="s">
        <v>14</v>
      </c>
      <c r="B183" s="7">
        <f>99/0.8</f>
        <v>123.75</v>
      </c>
    </row>
    <row r="184" spans="1:5" ht="13">
      <c r="A184" s="3" t="s">
        <v>16</v>
      </c>
      <c r="B184" s="7">
        <f>9/0.8</f>
        <v>11.25</v>
      </c>
    </row>
    <row r="185" spans="1:5" ht="13">
      <c r="A185" s="3" t="s">
        <v>8</v>
      </c>
      <c r="B185" s="4">
        <v>0</v>
      </c>
    </row>
    <row r="186" spans="1:5" ht="13"/>
    <row r="187" spans="1:5" ht="13">
      <c r="B187" s="25" t="s">
        <v>538</v>
      </c>
    </row>
    <row r="188" spans="1:5" ht="13">
      <c r="B188" s="3" t="s">
        <v>309</v>
      </c>
      <c r="C188" s="3" t="s">
        <v>310</v>
      </c>
      <c r="D188" s="3" t="s">
        <v>311</v>
      </c>
      <c r="E188" s="3" t="s">
        <v>312</v>
      </c>
    </row>
    <row r="189" spans="1:5" ht="13">
      <c r="A189" s="3" t="s">
        <v>318</v>
      </c>
      <c r="B189" s="8">
        <f>B173*165</f>
        <v>4667608.2750000004</v>
      </c>
      <c r="C189" s="8">
        <f>C173*165</f>
        <v>6749109.2624999993</v>
      </c>
      <c r="D189" s="8">
        <f>B189*1.53</f>
        <v>7141440.6607500007</v>
      </c>
      <c r="E189" s="8">
        <f>C189*1.53</f>
        <v>10326137.171624999</v>
      </c>
    </row>
    <row r="190" spans="1:5" ht="13">
      <c r="A190" s="3" t="s">
        <v>321</v>
      </c>
      <c r="B190" s="8">
        <f>B173*400</f>
        <v>11315414</v>
      </c>
      <c r="C190" s="8">
        <f>C173*400</f>
        <v>16361476.999999998</v>
      </c>
      <c r="D190" s="8">
        <f>B190*1.53</f>
        <v>17312583.420000002</v>
      </c>
      <c r="E190" s="8">
        <f>C190*1.53</f>
        <v>25033059.809999999</v>
      </c>
    </row>
    <row r="191" spans="1:5" ht="13">
      <c r="A191" s="3" t="s">
        <v>322</v>
      </c>
    </row>
    <row r="192" spans="1:5" ht="13">
      <c r="B192" s="51" t="s">
        <v>539</v>
      </c>
    </row>
    <row r="193" spans="1:5" ht="13">
      <c r="B193" s="3" t="s">
        <v>309</v>
      </c>
      <c r="C193" s="3" t="s">
        <v>310</v>
      </c>
      <c r="D193" s="3" t="s">
        <v>311</v>
      </c>
      <c r="E193" s="3" t="s">
        <v>312</v>
      </c>
    </row>
    <row r="194" spans="1:5" ht="13">
      <c r="A194" s="25" t="s">
        <v>318</v>
      </c>
      <c r="B194" s="7">
        <f>B189/1000</f>
        <v>4667.6082750000005</v>
      </c>
      <c r="C194" s="7">
        <f>C189/1000</f>
        <v>6749.1092624999992</v>
      </c>
      <c r="D194" s="7">
        <f>D189/1000</f>
        <v>7141.4406607500005</v>
      </c>
      <c r="E194" s="7">
        <f>E189/1000</f>
        <v>10326.137171625</v>
      </c>
    </row>
    <row r="195" spans="1:5" ht="13">
      <c r="A195" s="25" t="s">
        <v>321</v>
      </c>
      <c r="B195" s="7">
        <f>B190/1000</f>
        <v>11315.414000000001</v>
      </c>
      <c r="C195" s="7">
        <f>C190/1000</f>
        <v>16361.476999999999</v>
      </c>
      <c r="D195" s="7">
        <f>D190/1000</f>
        <v>17312.583420000003</v>
      </c>
      <c r="E195" s="7">
        <f>E190/1000</f>
        <v>25033.059809999999</v>
      </c>
    </row>
    <row r="196" spans="1:5" ht="13"/>
    <row r="197" spans="1:5" ht="13"/>
    <row r="198" spans="1:5" s="52" customFormat="1" ht="16">
      <c r="A198" s="52" t="s">
        <v>325</v>
      </c>
    </row>
    <row r="199" spans="1:5" s="52" customFormat="1" ht="16">
      <c r="A199" s="52" t="s">
        <v>326</v>
      </c>
    </row>
    <row r="200" spans="1:5" ht="13">
      <c r="A200" s="3" t="s">
        <v>544</v>
      </c>
      <c r="B200" s="51" t="s">
        <v>545</v>
      </c>
      <c r="C200" s="51" t="s">
        <v>265</v>
      </c>
      <c r="D200" s="3" t="s">
        <v>301</v>
      </c>
    </row>
    <row r="201" spans="1:5" ht="13">
      <c r="B201" s="3" t="s">
        <v>328</v>
      </c>
      <c r="C201" s="3" t="s">
        <v>32</v>
      </c>
      <c r="D201" s="3" t="s">
        <v>329</v>
      </c>
    </row>
    <row r="202" spans="1:5" ht="13">
      <c r="A202" s="3" t="s">
        <v>9</v>
      </c>
      <c r="B202" s="3">
        <v>92265</v>
      </c>
      <c r="C202" s="7">
        <f t="shared" ref="C202:C205" si="13">B202/0.9</f>
        <v>102516.66666666666</v>
      </c>
      <c r="D202" s="7">
        <f>C202*1.53</f>
        <v>156850.5</v>
      </c>
    </row>
    <row r="203" spans="1:5" ht="13">
      <c r="A203" s="3" t="s">
        <v>10</v>
      </c>
      <c r="B203" s="3">
        <v>424</v>
      </c>
      <c r="C203" s="7">
        <f t="shared" si="13"/>
        <v>471.11111111111109</v>
      </c>
      <c r="D203" s="7">
        <f>C203*1.2</f>
        <v>565.33333333333326</v>
      </c>
    </row>
    <row r="204" spans="1:5" ht="13">
      <c r="A204" s="3" t="s">
        <v>14</v>
      </c>
      <c r="B204" s="3">
        <v>179</v>
      </c>
      <c r="C204" s="7">
        <f t="shared" si="13"/>
        <v>198.88888888888889</v>
      </c>
    </row>
    <row r="205" spans="1:5" ht="13">
      <c r="A205" s="3" t="s">
        <v>16</v>
      </c>
      <c r="B205" s="3">
        <v>6.8</v>
      </c>
      <c r="C205" s="7">
        <f t="shared" si="13"/>
        <v>7.5555555555555554</v>
      </c>
    </row>
    <row r="206" spans="1:5" ht="13">
      <c r="A206" s="48"/>
    </row>
    <row r="207" spans="1:5" ht="15.75" customHeight="1">
      <c r="B207" s="3" t="s">
        <v>537</v>
      </c>
    </row>
    <row r="208" spans="1:5" ht="13">
      <c r="A208" s="3" t="s">
        <v>35</v>
      </c>
      <c r="B208" s="3" t="s">
        <v>265</v>
      </c>
      <c r="C208" s="3" t="s">
        <v>327</v>
      </c>
    </row>
    <row r="209" spans="1:3" ht="15.75" customHeight="1">
      <c r="A209" s="3" t="s">
        <v>38</v>
      </c>
      <c r="B209" s="8">
        <f>C202/1.6</f>
        <v>64072.916666666657</v>
      </c>
      <c r="C209" s="8">
        <f>D202/1.6</f>
        <v>98031.5625</v>
      </c>
    </row>
    <row r="210" spans="1:3" ht="15.75" customHeight="1">
      <c r="A210" s="3" t="s">
        <v>40</v>
      </c>
      <c r="B210" s="8">
        <f>C202/2.5</f>
        <v>41006.666666666664</v>
      </c>
      <c r="C210" s="8">
        <f>D202/2.5</f>
        <v>62740.2</v>
      </c>
    </row>
    <row r="211" spans="1:3" ht="15.75" customHeight="1">
      <c r="B211" s="3" t="s">
        <v>538</v>
      </c>
    </row>
    <row r="212" spans="1:3" ht="15.75" customHeight="1">
      <c r="B212" s="3" t="s">
        <v>265</v>
      </c>
      <c r="C212" s="3" t="s">
        <v>327</v>
      </c>
    </row>
    <row r="213" spans="1:3" ht="15.75" customHeight="1">
      <c r="A213" s="3" t="s">
        <v>46</v>
      </c>
      <c r="B213" s="8">
        <f t="shared" ref="B213:C213" si="14">B209*165</f>
        <v>10572031.249999998</v>
      </c>
      <c r="C213" s="8">
        <f t="shared" si="14"/>
        <v>16175207.8125</v>
      </c>
    </row>
    <row r="214" spans="1:3" ht="13">
      <c r="A214" s="3" t="s">
        <v>48</v>
      </c>
      <c r="B214" s="8">
        <f t="shared" ref="B214:C214" si="15">B210*400</f>
        <v>16402666.666666666</v>
      </c>
      <c r="C214" s="8">
        <f t="shared" si="15"/>
        <v>25096080</v>
      </c>
    </row>
    <row r="216" spans="1:3" ht="15.75" customHeight="1">
      <c r="A216" s="48"/>
      <c r="B216" s="3" t="s">
        <v>539</v>
      </c>
    </row>
    <row r="217" spans="1:3" ht="15.75" customHeight="1">
      <c r="A217" s="48"/>
      <c r="B217" s="3" t="s">
        <v>265</v>
      </c>
      <c r="C217" s="3" t="s">
        <v>327</v>
      </c>
    </row>
    <row r="218" spans="1:3" ht="15.75" customHeight="1">
      <c r="A218" s="25" t="s">
        <v>46</v>
      </c>
      <c r="B218" s="7">
        <f>B213/1000</f>
        <v>10572.031249999998</v>
      </c>
      <c r="C218" s="7">
        <f>C213/1000</f>
        <v>16175.207812500001</v>
      </c>
    </row>
    <row r="219" spans="1:3" ht="15.75" customHeight="1">
      <c r="A219" s="25" t="s">
        <v>48</v>
      </c>
      <c r="B219" s="7">
        <f>B214/1000</f>
        <v>16402.666666666664</v>
      </c>
      <c r="C219" s="7">
        <f>C214/1000</f>
        <v>25096.080000000002</v>
      </c>
    </row>
  </sheetData>
  <hyperlinks>
    <hyperlink ref="A9" r:id="rId1" xr:uid="{00000000-0004-0000-0500-000000000000}"/>
    <hyperlink ref="A33" r:id="rId2" xr:uid="{00000000-0004-0000-0500-000001000000}"/>
    <hyperlink ref="A61" r:id="rId3" xr:uid="{00000000-0004-0000-0500-000002000000}"/>
    <hyperlink ref="A89" r:id="rId4" xr:uid="{00000000-0004-0000-0500-000003000000}"/>
    <hyperlink ref="A111" r:id="rId5" xr:uid="{00000000-0004-0000-0500-000004000000}"/>
    <hyperlink ref="A138" r:id="rId6" xr:uid="{00000000-0004-0000-0500-000005000000}"/>
    <hyperlink ref="A160" r:id="rId7" xr:uid="{00000000-0004-0000-0500-000007000000}"/>
    <hyperlink ref="C164" r:id="rId8" xr:uid="{00000000-0004-0000-0500-000008000000}"/>
    <hyperlink ref="A199" r:id="rId9" xr:uid="{00000000-0004-0000-0500-000009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L120"/>
  <sheetViews>
    <sheetView topLeftCell="A90" workbookViewId="0">
      <pane xSplit="1" topLeftCell="B1" activePane="topRight" state="frozen"/>
      <selection pane="topRight" activeCell="A21" sqref="A21"/>
    </sheetView>
  </sheetViews>
  <sheetFormatPr baseColWidth="10" defaultColWidth="14.5" defaultRowHeight="15.75" customHeight="1"/>
  <cols>
    <col min="1" max="1" width="23.83203125" customWidth="1"/>
    <col min="2" max="2" width="31.6640625" customWidth="1"/>
    <col min="3" max="3" width="18.1640625" customWidth="1"/>
    <col min="4" max="4" width="17.6640625" customWidth="1"/>
    <col min="5" max="5" width="18.83203125" customWidth="1"/>
    <col min="6" max="6" width="19.5" customWidth="1"/>
  </cols>
  <sheetData>
    <row r="1" spans="1:12" ht="14">
      <c r="A1" s="4" t="s">
        <v>24</v>
      </c>
      <c r="L1" s="22"/>
    </row>
    <row r="2" spans="1:12" ht="14">
      <c r="A2" s="5" t="s">
        <v>25</v>
      </c>
      <c r="L2" s="22"/>
    </row>
    <row r="3" spans="1:12" ht="14">
      <c r="L3" s="22"/>
    </row>
    <row r="4" spans="1:12" s="52" customFormat="1" ht="16">
      <c r="A4" s="52" t="s">
        <v>331</v>
      </c>
    </row>
    <row r="5" spans="1:12" s="52" customFormat="1" ht="16">
      <c r="A5" s="52" t="s">
        <v>332</v>
      </c>
    </row>
    <row r="6" spans="1:12" ht="14">
      <c r="A6" s="6" t="s">
        <v>333</v>
      </c>
      <c r="L6" s="22"/>
    </row>
    <row r="7" spans="1:12" ht="13">
      <c r="A7" s="3" t="s">
        <v>334</v>
      </c>
    </row>
    <row r="8" spans="1:12" ht="15.75" customHeight="1">
      <c r="B8" s="3" t="s">
        <v>335</v>
      </c>
      <c r="C8" s="3" t="s">
        <v>336</v>
      </c>
      <c r="D8" s="3" t="s">
        <v>337</v>
      </c>
      <c r="E8" s="3" t="s">
        <v>338</v>
      </c>
      <c r="F8" s="3" t="s">
        <v>339</v>
      </c>
      <c r="G8" s="3" t="s">
        <v>33</v>
      </c>
    </row>
    <row r="9" spans="1:12" ht="13">
      <c r="A9" s="3" t="s">
        <v>320</v>
      </c>
      <c r="B9" s="3">
        <v>191293</v>
      </c>
      <c r="C9" s="3">
        <v>104231</v>
      </c>
      <c r="D9" s="3">
        <v>204498</v>
      </c>
      <c r="E9" s="3">
        <v>21816</v>
      </c>
      <c r="F9" s="3">
        <v>51508</v>
      </c>
      <c r="G9" s="3" t="s">
        <v>604</v>
      </c>
    </row>
    <row r="10" spans="1:12" ht="13">
      <c r="A10" s="3" t="s">
        <v>341</v>
      </c>
      <c r="B10" s="3">
        <v>63439</v>
      </c>
      <c r="C10" s="3">
        <v>50099</v>
      </c>
      <c r="D10" s="3">
        <v>70903</v>
      </c>
      <c r="E10" s="3">
        <v>7707</v>
      </c>
      <c r="F10" s="3">
        <v>19348</v>
      </c>
      <c r="G10" s="3"/>
    </row>
    <row r="11" spans="1:12" ht="13">
      <c r="A11" s="3" t="s">
        <v>342</v>
      </c>
      <c r="B11" s="8">
        <f t="shared" ref="B11:F11" si="0">B9*2.75</f>
        <v>526055.75</v>
      </c>
      <c r="C11" s="8">
        <f t="shared" si="0"/>
        <v>286635.25</v>
      </c>
      <c r="D11" s="8">
        <f t="shared" si="0"/>
        <v>562369.5</v>
      </c>
      <c r="E11" s="8">
        <f t="shared" si="0"/>
        <v>59994</v>
      </c>
      <c r="F11" s="8">
        <f t="shared" si="0"/>
        <v>141647</v>
      </c>
    </row>
    <row r="12" spans="1:12" ht="14">
      <c r="A12" s="3" t="s">
        <v>343</v>
      </c>
      <c r="B12" s="8">
        <f t="shared" ref="B12:F12" si="1">B10*0.975</f>
        <v>61853.025000000001</v>
      </c>
      <c r="C12" s="8">
        <f t="shared" si="1"/>
        <v>48846.525000000001</v>
      </c>
      <c r="D12" s="8">
        <f t="shared" si="1"/>
        <v>69130.425000000003</v>
      </c>
      <c r="E12" s="8">
        <f t="shared" si="1"/>
        <v>7514.3249999999998</v>
      </c>
      <c r="F12" s="8">
        <f t="shared" si="1"/>
        <v>18864.3</v>
      </c>
      <c r="L12" s="22"/>
    </row>
    <row r="13" spans="1:12" ht="14">
      <c r="A13" s="3" t="s">
        <v>344</v>
      </c>
      <c r="B13" s="7">
        <f t="shared" ref="B13:B14" si="2">B11/1.38</f>
        <v>381199.81884057971</v>
      </c>
      <c r="C13" s="14">
        <f t="shared" ref="C13:C14" si="3">C11/1.5</f>
        <v>191090.16666666666</v>
      </c>
      <c r="D13" s="7">
        <f t="shared" ref="D13:D14" si="4">D11/1.6</f>
        <v>351480.9375</v>
      </c>
      <c r="E13" s="14">
        <f t="shared" ref="E13:E14" si="5">E11/0.286</f>
        <v>209769.23076923078</v>
      </c>
      <c r="F13" s="14">
        <f t="shared" ref="F13:F14" si="6">F11/1.235</f>
        <v>114693.92712550606</v>
      </c>
      <c r="L13" s="22"/>
    </row>
    <row r="14" spans="1:12" ht="14">
      <c r="A14" s="3" t="s">
        <v>345</v>
      </c>
      <c r="B14" s="7">
        <f t="shared" si="2"/>
        <v>44821.032608695656</v>
      </c>
      <c r="C14" s="14">
        <f t="shared" si="3"/>
        <v>32564.350000000002</v>
      </c>
      <c r="D14" s="7">
        <f t="shared" si="4"/>
        <v>43206.515625</v>
      </c>
      <c r="E14" s="14">
        <f t="shared" si="5"/>
        <v>26273.86363636364</v>
      </c>
      <c r="F14" s="14">
        <f t="shared" si="6"/>
        <v>15274.736842105262</v>
      </c>
      <c r="L14" s="22"/>
    </row>
    <row r="15" spans="1:12" ht="14">
      <c r="B15" s="3" t="s">
        <v>346</v>
      </c>
      <c r="C15" s="3" t="s">
        <v>347</v>
      </c>
      <c r="D15" s="3" t="s">
        <v>346</v>
      </c>
      <c r="E15" s="3" t="s">
        <v>348</v>
      </c>
      <c r="F15" s="3" t="s">
        <v>347</v>
      </c>
      <c r="L15" s="22"/>
    </row>
    <row r="16" spans="1:12" ht="14">
      <c r="A16" s="3"/>
      <c r="L16" s="22"/>
    </row>
    <row r="17" spans="1:12" ht="14">
      <c r="A17" s="3" t="s">
        <v>35</v>
      </c>
      <c r="D17" s="22"/>
      <c r="L17" s="22"/>
    </row>
    <row r="18" spans="1:12" ht="14">
      <c r="B18" s="25" t="s">
        <v>538</v>
      </c>
      <c r="D18" s="3" t="s">
        <v>539</v>
      </c>
      <c r="F18" s="3" t="s">
        <v>340</v>
      </c>
      <c r="K18" s="25"/>
      <c r="L18" s="22"/>
    </row>
    <row r="19" spans="1:12" ht="14">
      <c r="B19" s="3" t="s">
        <v>335</v>
      </c>
      <c r="C19" s="3" t="s">
        <v>337</v>
      </c>
      <c r="D19" s="25" t="s">
        <v>335</v>
      </c>
      <c r="E19" s="25" t="s">
        <v>337</v>
      </c>
      <c r="F19" s="25" t="s">
        <v>335</v>
      </c>
      <c r="G19" s="25" t="s">
        <v>337</v>
      </c>
      <c r="L19" s="22"/>
    </row>
    <row r="20" spans="1:12" ht="14">
      <c r="A20" s="3" t="s">
        <v>318</v>
      </c>
      <c r="B20" s="8">
        <f>B9*165</f>
        <v>31563345</v>
      </c>
      <c r="C20" s="8">
        <f>D9*165</f>
        <v>33742170</v>
      </c>
      <c r="D20" s="29">
        <f t="shared" ref="D20:E20" si="7">B20/1000</f>
        <v>31563.345000000001</v>
      </c>
      <c r="E20" s="29">
        <f t="shared" si="7"/>
        <v>33742.17</v>
      </c>
      <c r="F20" s="7">
        <f t="shared" ref="F20:F21" si="8">D20/1.38</f>
        <v>22871.989130434784</v>
      </c>
      <c r="G20" s="7">
        <f t="shared" ref="G20:G21" si="9">E20/1.6</f>
        <v>21088.856249999997</v>
      </c>
      <c r="L20" s="22"/>
    </row>
    <row r="21" spans="1:12" ht="14">
      <c r="A21" s="3" t="s">
        <v>321</v>
      </c>
      <c r="B21" s="8">
        <f>B9*400</f>
        <v>76517200</v>
      </c>
      <c r="C21" s="8">
        <f>D9*400</f>
        <v>81799200</v>
      </c>
      <c r="D21" s="29">
        <f t="shared" ref="D21:E21" si="10">B21/1000</f>
        <v>76517.2</v>
      </c>
      <c r="E21" s="29">
        <f t="shared" si="10"/>
        <v>81799.199999999997</v>
      </c>
      <c r="F21" s="7">
        <f t="shared" si="8"/>
        <v>55447.246376811599</v>
      </c>
      <c r="G21" s="7">
        <f t="shared" si="9"/>
        <v>51124.499999999993</v>
      </c>
      <c r="L21" s="22"/>
    </row>
    <row r="22" spans="1:12" ht="14">
      <c r="A22" s="3"/>
      <c r="B22" s="8"/>
      <c r="C22" s="8"/>
      <c r="D22" s="8"/>
      <c r="E22" s="8"/>
      <c r="F22" s="8"/>
      <c r="L22" s="22"/>
    </row>
    <row r="23" spans="1:12" s="52" customFormat="1" ht="15.75" customHeight="1">
      <c r="A23" s="52" t="s">
        <v>109</v>
      </c>
    </row>
    <row r="24" spans="1:12" s="52" customFormat="1" ht="15.75" customHeight="1">
      <c r="A24" s="52" t="s">
        <v>110</v>
      </c>
    </row>
    <row r="25" spans="1:12" ht="15.75" customHeight="1">
      <c r="A25" s="6" t="s">
        <v>111</v>
      </c>
    </row>
    <row r="26" spans="1:12" ht="15.75" customHeight="1">
      <c r="A26" s="3" t="s">
        <v>112</v>
      </c>
    </row>
    <row r="27" spans="1:12" ht="16">
      <c r="A27" s="30"/>
    </row>
    <row r="28" spans="1:12" ht="16">
      <c r="A28" s="24"/>
      <c r="B28" s="3" t="s">
        <v>349</v>
      </c>
    </row>
    <row r="29" spans="1:12" ht="15.75" customHeight="1">
      <c r="A29" s="3" t="s">
        <v>189</v>
      </c>
      <c r="B29" s="3">
        <v>350</v>
      </c>
    </row>
    <row r="30" spans="1:12" ht="16">
      <c r="A30" s="24" t="s">
        <v>10</v>
      </c>
      <c r="B30" s="4">
        <v>1345</v>
      </c>
    </row>
    <row r="31" spans="1:12" ht="16">
      <c r="A31" s="24" t="s">
        <v>16</v>
      </c>
      <c r="B31" s="4">
        <v>300</v>
      </c>
    </row>
    <row r="32" spans="1:12" ht="15.75" customHeight="1">
      <c r="A32" s="26"/>
    </row>
    <row r="33" spans="1:8" s="52" customFormat="1" ht="16">
      <c r="A33" s="52" t="s">
        <v>295</v>
      </c>
    </row>
    <row r="34" spans="1:8" s="52" customFormat="1" ht="16">
      <c r="A34" s="52" t="s">
        <v>350</v>
      </c>
    </row>
    <row r="35" spans="1:8" ht="16">
      <c r="A35" s="2" t="s">
        <v>351</v>
      </c>
    </row>
    <row r="37" spans="1:8" ht="16">
      <c r="A37" s="2" t="s">
        <v>147</v>
      </c>
      <c r="B37" s="2" t="s">
        <v>352</v>
      </c>
      <c r="C37" s="25" t="s">
        <v>33</v>
      </c>
    </row>
    <row r="38" spans="1:8" ht="16">
      <c r="A38" s="2" t="s">
        <v>6</v>
      </c>
      <c r="B38" s="3">
        <v>18</v>
      </c>
    </row>
    <row r="39" spans="1:8" ht="16">
      <c r="A39" s="2" t="s">
        <v>353</v>
      </c>
      <c r="B39" s="7">
        <f>32731+2080+1257</f>
        <v>36068</v>
      </c>
    </row>
    <row r="40" spans="1:8" ht="16">
      <c r="A40" s="2" t="s">
        <v>354</v>
      </c>
      <c r="B40" s="3" t="s">
        <v>605</v>
      </c>
      <c r="C40" s="3" t="s">
        <v>355</v>
      </c>
    </row>
    <row r="41" spans="1:8" ht="13">
      <c r="A41" s="3" t="s">
        <v>10</v>
      </c>
      <c r="B41" s="3">
        <v>694</v>
      </c>
    </row>
    <row r="42" spans="1:8" ht="13">
      <c r="A42" s="3" t="s">
        <v>16</v>
      </c>
      <c r="B42" s="3">
        <v>1</v>
      </c>
      <c r="H42" s="28"/>
    </row>
    <row r="43" spans="1:8" ht="16">
      <c r="A43" s="2" t="s">
        <v>5</v>
      </c>
      <c r="B43" s="3" t="s">
        <v>356</v>
      </c>
    </row>
    <row r="44" spans="1:8" ht="16">
      <c r="A44" s="1"/>
    </row>
    <row r="45" spans="1:8" ht="16">
      <c r="A45" s="24" t="s">
        <v>147</v>
      </c>
      <c r="B45" s="2" t="s">
        <v>357</v>
      </c>
      <c r="C45" s="3" t="s">
        <v>33</v>
      </c>
    </row>
    <row r="46" spans="1:8" ht="16">
      <c r="A46" s="2" t="s">
        <v>6</v>
      </c>
      <c r="B46" s="4">
        <v>18</v>
      </c>
      <c r="C46" s="3" t="s">
        <v>358</v>
      </c>
    </row>
    <row r="47" spans="1:8" ht="16">
      <c r="A47" s="2" t="s">
        <v>10</v>
      </c>
      <c r="B47" s="4">
        <v>726</v>
      </c>
      <c r="F47" s="48"/>
    </row>
    <row r="48" spans="1:8" ht="16">
      <c r="A48" s="2" t="s">
        <v>14</v>
      </c>
      <c r="B48" s="4">
        <v>467</v>
      </c>
      <c r="F48" s="48"/>
    </row>
    <row r="49" spans="1:5" ht="16">
      <c r="A49" s="2" t="s">
        <v>16</v>
      </c>
      <c r="B49" s="4">
        <v>484</v>
      </c>
    </row>
    <row r="50" spans="1:5" ht="16">
      <c r="A50" s="2" t="s">
        <v>5</v>
      </c>
      <c r="B50" s="4" t="s">
        <v>356</v>
      </c>
    </row>
    <row r="51" spans="1:5" ht="16">
      <c r="A51" s="2" t="s">
        <v>20</v>
      </c>
      <c r="B51" s="49">
        <v>30133</v>
      </c>
      <c r="C51" s="3" t="s">
        <v>602</v>
      </c>
    </row>
    <row r="52" spans="1:5" ht="13">
      <c r="A52" s="3" t="s">
        <v>9</v>
      </c>
      <c r="B52" s="7">
        <f>B51/0.1677</f>
        <v>179683.95945140132</v>
      </c>
    </row>
    <row r="53" spans="1:5" ht="13">
      <c r="A53" s="3"/>
    </row>
    <row r="54" spans="1:5" s="52" customFormat="1" ht="16">
      <c r="A54" s="52" t="s">
        <v>294</v>
      </c>
    </row>
    <row r="55" spans="1:5" s="52" customFormat="1" ht="16">
      <c r="A55" s="52" t="s">
        <v>300</v>
      </c>
    </row>
    <row r="56" spans="1:5" ht="13">
      <c r="A56" s="3" t="s">
        <v>359</v>
      </c>
    </row>
    <row r="57" spans="1:5" ht="13">
      <c r="A57" s="3" t="s">
        <v>360</v>
      </c>
      <c r="B57" s="3" t="s">
        <v>361</v>
      </c>
      <c r="C57" s="3" t="s">
        <v>362</v>
      </c>
      <c r="D57" s="3" t="s">
        <v>363</v>
      </c>
      <c r="E57" s="3" t="s">
        <v>33</v>
      </c>
    </row>
    <row r="58" spans="1:5" ht="13">
      <c r="A58" s="3" t="s">
        <v>6</v>
      </c>
      <c r="B58" s="3" t="s">
        <v>366</v>
      </c>
      <c r="C58" s="3" t="s">
        <v>367</v>
      </c>
      <c r="D58" s="3">
        <v>40</v>
      </c>
      <c r="E58" s="3" t="s">
        <v>368</v>
      </c>
    </row>
    <row r="59" spans="1:5" ht="13">
      <c r="A59" s="3" t="s">
        <v>7</v>
      </c>
      <c r="B59" s="3" t="s">
        <v>369</v>
      </c>
      <c r="C59" s="3" t="s">
        <v>370</v>
      </c>
      <c r="D59" s="3" t="s">
        <v>356</v>
      </c>
    </row>
    <row r="60" spans="1:5" ht="13">
      <c r="A60" s="3" t="s">
        <v>9</v>
      </c>
      <c r="B60" s="32">
        <v>170000</v>
      </c>
      <c r="C60" s="3" t="s">
        <v>371</v>
      </c>
      <c r="D60" s="3" t="s">
        <v>372</v>
      </c>
    </row>
    <row r="61" spans="1:5" ht="13">
      <c r="A61" s="3" t="s">
        <v>10</v>
      </c>
      <c r="B61" s="3" t="s">
        <v>373</v>
      </c>
      <c r="C61" s="3" t="s">
        <v>374</v>
      </c>
      <c r="D61" s="3">
        <v>1390</v>
      </c>
    </row>
    <row r="62" spans="1:5" ht="13">
      <c r="A62" s="3" t="s">
        <v>14</v>
      </c>
      <c r="B62" s="3" t="s">
        <v>375</v>
      </c>
      <c r="C62" s="3" t="s">
        <v>376</v>
      </c>
      <c r="D62" s="3">
        <v>390</v>
      </c>
    </row>
    <row r="63" spans="1:5" ht="13">
      <c r="A63" s="3" t="s">
        <v>16</v>
      </c>
      <c r="B63" s="3" t="s">
        <v>377</v>
      </c>
      <c r="C63" s="3" t="s">
        <v>378</v>
      </c>
      <c r="D63" s="3">
        <v>220</v>
      </c>
    </row>
    <row r="64" spans="1:5" ht="13">
      <c r="A64" s="3" t="s">
        <v>5</v>
      </c>
      <c r="B64" s="3" t="s">
        <v>379</v>
      </c>
      <c r="C64" s="3" t="s">
        <v>380</v>
      </c>
      <c r="D64" s="3" t="s">
        <v>356</v>
      </c>
    </row>
    <row r="65" spans="1:4" ht="13">
      <c r="A65" s="3" t="s">
        <v>18</v>
      </c>
      <c r="B65" s="3" t="s">
        <v>381</v>
      </c>
      <c r="C65" s="3" t="s">
        <v>382</v>
      </c>
      <c r="D65" s="32">
        <v>19000</v>
      </c>
    </row>
    <row r="66" spans="1:4" ht="13">
      <c r="A66" s="3" t="s">
        <v>383</v>
      </c>
    </row>
    <row r="67" spans="1:4" ht="13">
      <c r="A67" s="3" t="s">
        <v>603</v>
      </c>
    </row>
    <row r="68" spans="1:4" ht="13">
      <c r="A68" s="3" t="s">
        <v>384</v>
      </c>
    </row>
    <row r="69" spans="1:4" ht="13">
      <c r="A69" s="3" t="s">
        <v>385</v>
      </c>
    </row>
    <row r="70" spans="1:4" ht="13">
      <c r="A70" s="3" t="s">
        <v>386</v>
      </c>
    </row>
    <row r="71" spans="1:4" ht="13">
      <c r="A71" s="3" t="s">
        <v>387</v>
      </c>
    </row>
    <row r="72" spans="1:4" ht="16">
      <c r="A72" s="1"/>
    </row>
    <row r="73" spans="1:4" ht="16">
      <c r="A73" s="30" t="s">
        <v>32</v>
      </c>
      <c r="B73" s="3" t="s">
        <v>364</v>
      </c>
      <c r="C73" s="3" t="s">
        <v>365</v>
      </c>
    </row>
    <row r="74" spans="1:4" ht="13">
      <c r="A74" s="25" t="s">
        <v>6</v>
      </c>
      <c r="B74" s="4">
        <v>54</v>
      </c>
      <c r="C74" s="4">
        <v>45</v>
      </c>
    </row>
    <row r="75" spans="1:4" ht="13">
      <c r="A75" s="25" t="s">
        <v>7</v>
      </c>
      <c r="B75" s="7"/>
      <c r="C75" s="4" t="s">
        <v>356</v>
      </c>
    </row>
    <row r="76" spans="1:4" ht="13">
      <c r="A76" s="25" t="s">
        <v>9</v>
      </c>
      <c r="B76" s="33">
        <v>190000</v>
      </c>
      <c r="C76" s="7"/>
    </row>
    <row r="77" spans="1:4" ht="13">
      <c r="A77" s="25" t="s">
        <v>10</v>
      </c>
      <c r="B77" s="4">
        <v>907</v>
      </c>
      <c r="C77" s="4">
        <v>2000</v>
      </c>
    </row>
    <row r="78" spans="1:4" ht="13">
      <c r="A78" s="25" t="s">
        <v>14</v>
      </c>
      <c r="B78" s="4">
        <v>209</v>
      </c>
      <c r="C78" s="4">
        <v>400</v>
      </c>
    </row>
    <row r="79" spans="1:4" ht="13">
      <c r="A79" s="25" t="s">
        <v>16</v>
      </c>
      <c r="B79" s="4">
        <v>49</v>
      </c>
      <c r="C79" s="4">
        <v>100</v>
      </c>
    </row>
    <row r="80" spans="1:4" ht="13">
      <c r="A80" s="25" t="s">
        <v>5</v>
      </c>
      <c r="B80" s="7"/>
      <c r="C80" s="4">
        <v>1</v>
      </c>
    </row>
    <row r="81" spans="1:4" ht="13">
      <c r="A81" s="25" t="s">
        <v>18</v>
      </c>
      <c r="B81" s="7"/>
      <c r="C81" s="33">
        <v>10000</v>
      </c>
    </row>
    <row r="82" spans="1:4" ht="16">
      <c r="A82" s="30"/>
      <c r="B82" s="3" t="s">
        <v>606</v>
      </c>
    </row>
    <row r="83" spans="1:4" ht="16">
      <c r="A83" s="30"/>
      <c r="B83" s="25"/>
    </row>
    <row r="84" spans="1:4" ht="13">
      <c r="B84" s="3" t="s">
        <v>537</v>
      </c>
    </row>
    <row r="85" spans="1:4" ht="13">
      <c r="A85" s="3" t="s">
        <v>35</v>
      </c>
      <c r="B85" s="3" t="s">
        <v>362</v>
      </c>
    </row>
    <row r="86" spans="1:4" ht="13">
      <c r="A86" s="3" t="s">
        <v>38</v>
      </c>
      <c r="B86" s="31">
        <f>B76/1.6</f>
        <v>118750</v>
      </c>
    </row>
    <row r="87" spans="1:4" ht="13">
      <c r="A87" s="3" t="s">
        <v>40</v>
      </c>
      <c r="B87" s="31">
        <f>B76/2.5</f>
        <v>76000</v>
      </c>
    </row>
    <row r="88" spans="1:4" ht="13">
      <c r="B88" s="25" t="s">
        <v>538</v>
      </c>
      <c r="C88" s="25" t="s">
        <v>539</v>
      </c>
    </row>
    <row r="89" spans="1:4" ht="13">
      <c r="B89" s="3" t="s">
        <v>362</v>
      </c>
      <c r="C89" s="3" t="s">
        <v>362</v>
      </c>
    </row>
    <row r="90" spans="1:4" ht="13">
      <c r="A90" s="3" t="s">
        <v>46</v>
      </c>
      <c r="B90" s="31">
        <f>B86*165</f>
        <v>19593750</v>
      </c>
      <c r="C90" s="34">
        <f t="shared" ref="C90:C91" si="11">B90/1000</f>
        <v>19593.75</v>
      </c>
    </row>
    <row r="91" spans="1:4" ht="13">
      <c r="A91" s="3" t="s">
        <v>48</v>
      </c>
      <c r="B91" s="31">
        <f>B87*400</f>
        <v>30400000</v>
      </c>
      <c r="C91" s="34">
        <f t="shared" si="11"/>
        <v>30400</v>
      </c>
    </row>
    <row r="92" spans="1:4" ht="13">
      <c r="A92" s="3"/>
    </row>
    <row r="93" spans="1:4" s="52" customFormat="1" ht="16">
      <c r="A93" s="52" t="s">
        <v>388</v>
      </c>
    </row>
    <row r="94" spans="1:4" s="52" customFormat="1" ht="16">
      <c r="A94" s="52" t="s">
        <v>389</v>
      </c>
    </row>
    <row r="95" spans="1:4" ht="13">
      <c r="A95" s="3" t="s">
        <v>390</v>
      </c>
    </row>
    <row r="96" spans="1:4" ht="13">
      <c r="A96" s="3" t="s">
        <v>328</v>
      </c>
      <c r="B96" s="3" t="s">
        <v>391</v>
      </c>
      <c r="C96" s="3" t="s">
        <v>392</v>
      </c>
      <c r="D96" s="3" t="s">
        <v>33</v>
      </c>
    </row>
    <row r="97" spans="1:4" ht="13">
      <c r="A97" s="3" t="s">
        <v>6</v>
      </c>
      <c r="B97" s="3">
        <v>90</v>
      </c>
      <c r="C97" s="4">
        <v>33</v>
      </c>
    </row>
    <row r="98" spans="1:4" ht="13">
      <c r="A98" s="3" t="s">
        <v>7</v>
      </c>
      <c r="B98" s="3">
        <v>5.0000000000000001E-3</v>
      </c>
      <c r="C98" s="4">
        <v>0</v>
      </c>
    </row>
    <row r="99" spans="1:4" ht="13">
      <c r="A99" s="3" t="s">
        <v>10</v>
      </c>
      <c r="B99" s="3">
        <v>4000</v>
      </c>
      <c r="C99" s="4">
        <v>1481</v>
      </c>
    </row>
    <row r="100" spans="1:4" ht="13">
      <c r="A100" s="3" t="s">
        <v>14</v>
      </c>
      <c r="B100" s="3">
        <v>800</v>
      </c>
      <c r="C100" s="4">
        <v>296</v>
      </c>
    </row>
    <row r="101" spans="1:4" ht="13">
      <c r="A101" s="3" t="s">
        <v>16</v>
      </c>
      <c r="B101" s="3">
        <v>200</v>
      </c>
      <c r="C101" s="4">
        <v>74</v>
      </c>
    </row>
    <row r="102" spans="1:4" ht="13">
      <c r="A102" s="3" t="s">
        <v>5</v>
      </c>
      <c r="B102" s="3">
        <v>2</v>
      </c>
      <c r="C102" s="4">
        <v>1</v>
      </c>
    </row>
    <row r="103" spans="1:4" ht="13">
      <c r="A103" s="3" t="s">
        <v>18</v>
      </c>
      <c r="B103" s="3">
        <v>20000</v>
      </c>
      <c r="C103" s="4">
        <v>7407</v>
      </c>
      <c r="D103" s="3"/>
    </row>
    <row r="105" spans="1:4" s="52" customFormat="1" ht="16">
      <c r="A105" s="52" t="s">
        <v>393</v>
      </c>
    </row>
    <row r="106" spans="1:4" ht="13">
      <c r="A106" s="3">
        <v>2014</v>
      </c>
    </row>
    <row r="107" spans="1:4" ht="13">
      <c r="A107" s="3" t="s">
        <v>394</v>
      </c>
    </row>
    <row r="108" spans="1:4" ht="13">
      <c r="A108" s="3" t="s">
        <v>395</v>
      </c>
    </row>
    <row r="109" spans="1:4" ht="13">
      <c r="A109" s="3" t="s">
        <v>32</v>
      </c>
      <c r="B109" s="3" t="s">
        <v>396</v>
      </c>
    </row>
    <row r="110" spans="1:4" ht="13">
      <c r="A110" s="3" t="s">
        <v>397</v>
      </c>
      <c r="B110" s="4">
        <v>50400</v>
      </c>
    </row>
    <row r="111" spans="1:4" ht="13">
      <c r="A111" s="3" t="s">
        <v>9</v>
      </c>
      <c r="B111" s="3">
        <v>383900</v>
      </c>
    </row>
    <row r="112" spans="1:4" ht="13"/>
    <row r="113" spans="1:6" ht="13">
      <c r="B113" s="3" t="s">
        <v>36</v>
      </c>
    </row>
    <row r="114" spans="1:6" ht="13">
      <c r="A114" s="3" t="s">
        <v>35</v>
      </c>
      <c r="B114" s="3" t="s">
        <v>398</v>
      </c>
    </row>
    <row r="115" spans="1:6" ht="13">
      <c r="A115" s="3" t="s">
        <v>38</v>
      </c>
      <c r="B115" s="8">
        <f>B111/1.6</f>
        <v>239937.5</v>
      </c>
    </row>
    <row r="116" spans="1:6" ht="13">
      <c r="A116" s="3" t="s">
        <v>40</v>
      </c>
      <c r="B116" s="8">
        <f>B111/2.5</f>
        <v>153560</v>
      </c>
    </row>
    <row r="117" spans="1:6" ht="13">
      <c r="B117" s="3" t="s">
        <v>538</v>
      </c>
      <c r="C117" s="3" t="s">
        <v>539</v>
      </c>
      <c r="F117" s="48"/>
    </row>
    <row r="118" spans="1:6" ht="13">
      <c r="B118" s="3" t="s">
        <v>398</v>
      </c>
      <c r="C118" s="3" t="s">
        <v>398</v>
      </c>
      <c r="F118" s="48"/>
    </row>
    <row r="119" spans="1:6" ht="15.75" customHeight="1">
      <c r="A119" s="3" t="s">
        <v>46</v>
      </c>
      <c r="B119" s="8">
        <f>B115*165</f>
        <v>39589687.5</v>
      </c>
      <c r="C119" s="7">
        <f t="shared" ref="C119:C120" si="12">B119/1000</f>
        <v>39589.6875</v>
      </c>
      <c r="F119" s="48"/>
    </row>
    <row r="120" spans="1:6" ht="15.75" customHeight="1">
      <c r="A120" s="3" t="s">
        <v>48</v>
      </c>
      <c r="B120" s="8">
        <f>B116*400</f>
        <v>61424000</v>
      </c>
      <c r="C120" s="7">
        <f t="shared" si="12"/>
        <v>61424</v>
      </c>
      <c r="F120" s="48"/>
    </row>
  </sheetData>
  <hyperlinks>
    <hyperlink ref="A4" r:id="rId1" xr:uid="{00000000-0004-0000-0700-000000000000}"/>
    <hyperlink ref="A6" r:id="rId2" xr:uid="{00000000-0004-0000-0700-000001000000}"/>
    <hyperlink ref="A25" r:id="rId3" xr:uid="{00000000-0004-0000-0700-000002000000}"/>
    <hyperlink ref="A34" r:id="rId4" xr:uid="{00000000-0004-0000-0700-000004000000}"/>
    <hyperlink ref="A55" r:id="rId5" xr:uid="{00000000-0004-0000-0700-000008000000}"/>
    <hyperlink ref="A94" r:id="rId6" xr:uid="{00000000-0004-0000-0700-000009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O80"/>
  <sheetViews>
    <sheetView workbookViewId="0">
      <pane xSplit="1" topLeftCell="B1" activePane="topRight" state="frozen"/>
      <selection pane="topRight" activeCell="D46" sqref="D46"/>
    </sheetView>
  </sheetViews>
  <sheetFormatPr baseColWidth="10" defaultColWidth="14.5" defaultRowHeight="15.75" customHeight="1"/>
  <cols>
    <col min="1" max="1" width="33.33203125" customWidth="1"/>
    <col min="2" max="2" width="22.1640625" customWidth="1"/>
    <col min="3" max="3" width="20.6640625" customWidth="1"/>
    <col min="8" max="8" width="22.83203125" customWidth="1"/>
  </cols>
  <sheetData>
    <row r="1" spans="1:15" ht="15.75" customHeight="1">
      <c r="A1" s="4" t="s">
        <v>24</v>
      </c>
      <c r="B1" s="3"/>
      <c r="E1" s="3"/>
      <c r="H1" s="3"/>
      <c r="I1" s="3"/>
      <c r="L1" s="3"/>
    </row>
    <row r="2" spans="1:15" ht="15.75" customHeight="1">
      <c r="A2" s="5" t="s">
        <v>25</v>
      </c>
      <c r="B2" s="3"/>
      <c r="E2" s="3"/>
      <c r="H2" s="3"/>
      <c r="I2" s="3"/>
      <c r="L2" s="3"/>
    </row>
    <row r="3" spans="1:15" ht="15.75" customHeight="1">
      <c r="A3" s="3"/>
      <c r="B3" s="3"/>
      <c r="E3" s="3"/>
      <c r="H3" s="3"/>
      <c r="I3" s="3"/>
      <c r="L3" s="3"/>
    </row>
    <row r="4" spans="1:15" s="52" customFormat="1" ht="15.75" customHeight="1">
      <c r="A4" s="52" t="s">
        <v>513</v>
      </c>
    </row>
    <row r="5" spans="1:15" ht="15.75" customHeight="1">
      <c r="A5" s="3" t="s">
        <v>608</v>
      </c>
      <c r="E5" s="3" t="s">
        <v>607</v>
      </c>
      <c r="H5" s="3" t="s">
        <v>399</v>
      </c>
      <c r="I5" s="3">
        <f>10^6</f>
        <v>1000000</v>
      </c>
    </row>
    <row r="6" spans="1:15" ht="15.75" customHeight="1">
      <c r="A6" s="6" t="s">
        <v>400</v>
      </c>
      <c r="E6" s="3"/>
      <c r="F6" s="3"/>
      <c r="H6" s="3"/>
      <c r="I6" s="3"/>
    </row>
    <row r="7" spans="1:15" ht="15.75" customHeight="1">
      <c r="A7" s="3" t="s">
        <v>403</v>
      </c>
      <c r="B7" s="3" t="s">
        <v>401</v>
      </c>
      <c r="C7" s="3" t="s">
        <v>404</v>
      </c>
      <c r="E7" s="3" t="s">
        <v>405</v>
      </c>
      <c r="F7" s="3" t="s">
        <v>402</v>
      </c>
      <c r="H7" s="3" t="s">
        <v>406</v>
      </c>
      <c r="I7" s="32">
        <f>1/10^6</f>
        <v>9.9999999999999995E-7</v>
      </c>
    </row>
    <row r="8" spans="1:15" ht="15.75" customHeight="1">
      <c r="A8" s="3" t="s">
        <v>9</v>
      </c>
      <c r="B8" s="35">
        <f t="shared" ref="B8" si="0">E8*150*190/0.095</f>
        <v>10533000</v>
      </c>
      <c r="C8" s="35">
        <f>F8*150*190/0.095</f>
        <v>5766000</v>
      </c>
      <c r="D8" s="36"/>
      <c r="E8" s="8">
        <f>3.42+1.89+29.8</f>
        <v>35.11</v>
      </c>
      <c r="F8" s="8">
        <f>1.88+16.3+1.04</f>
        <v>19.22</v>
      </c>
      <c r="H8" s="3" t="s">
        <v>407</v>
      </c>
      <c r="I8" s="3" t="s">
        <v>408</v>
      </c>
    </row>
    <row r="9" spans="1:15" ht="15.75" customHeight="1">
      <c r="A9" s="3" t="s">
        <v>222</v>
      </c>
      <c r="B9" s="58">
        <f t="shared" ref="B9:C9" si="1">E9*150*190/0.095</f>
        <v>78000</v>
      </c>
      <c r="C9" s="58">
        <f t="shared" si="1"/>
        <v>177000</v>
      </c>
      <c r="D9" s="36"/>
      <c r="E9" s="3">
        <v>0.26</v>
      </c>
      <c r="F9" s="8">
        <f>0.15+0.41+0.03</f>
        <v>0.59</v>
      </c>
      <c r="H9" s="3" t="s">
        <v>409</v>
      </c>
      <c r="I9" s="3" t="s">
        <v>410</v>
      </c>
    </row>
    <row r="10" spans="1:15" ht="15.75" customHeight="1">
      <c r="A10" s="3" t="s">
        <v>411</v>
      </c>
      <c r="B10" s="58">
        <f t="shared" ref="B10:C10" si="2">E10*150*190/0.095</f>
        <v>2970.0000000000005</v>
      </c>
      <c r="C10" s="58">
        <f t="shared" si="2"/>
        <v>2970.0000000000005</v>
      </c>
      <c r="D10" s="36"/>
      <c r="E10" s="8">
        <f t="shared" ref="E10:F10" si="3">9.9*10^-3</f>
        <v>9.9000000000000008E-3</v>
      </c>
      <c r="F10" s="8">
        <f t="shared" si="3"/>
        <v>9.9000000000000008E-3</v>
      </c>
      <c r="H10" s="3" t="s">
        <v>412</v>
      </c>
      <c r="I10" s="3" t="s">
        <v>413</v>
      </c>
    </row>
    <row r="11" spans="1:15" ht="15.75" customHeight="1">
      <c r="A11" s="25"/>
      <c r="B11" s="35"/>
      <c r="C11" s="35"/>
      <c r="D11" s="36"/>
      <c r="E11" s="8"/>
    </row>
    <row r="12" spans="1:15" ht="15.75" customHeight="1">
      <c r="B12" s="3" t="s">
        <v>36</v>
      </c>
    </row>
    <row r="13" spans="1:15" ht="15.75" customHeight="1">
      <c r="A13" s="3" t="s">
        <v>35</v>
      </c>
      <c r="B13" s="3" t="s">
        <v>401</v>
      </c>
      <c r="C13" s="3" t="s">
        <v>402</v>
      </c>
      <c r="K13" s="25"/>
      <c r="L13" s="8"/>
      <c r="M13" s="8"/>
      <c r="N13" s="48"/>
      <c r="O13" s="48"/>
    </row>
    <row r="14" spans="1:15" ht="15.75" customHeight="1">
      <c r="A14" s="3" t="s">
        <v>38</v>
      </c>
      <c r="B14" s="8">
        <f>B8/1.6</f>
        <v>6583125</v>
      </c>
      <c r="C14" s="8">
        <f>C8/1.6</f>
        <v>3603750</v>
      </c>
      <c r="K14" s="25"/>
      <c r="L14" s="8"/>
      <c r="M14" s="8"/>
      <c r="N14" s="48"/>
      <c r="O14" s="48"/>
    </row>
    <row r="15" spans="1:15" ht="15.75" customHeight="1">
      <c r="A15" s="3" t="s">
        <v>40</v>
      </c>
      <c r="B15" s="8">
        <f>B8/2.5</f>
        <v>4213200</v>
      </c>
      <c r="C15" s="8">
        <f>C8/2.5</f>
        <v>2306400</v>
      </c>
      <c r="K15" s="25"/>
      <c r="L15" s="8"/>
      <c r="M15" s="8"/>
      <c r="N15" s="48"/>
      <c r="O15" s="48"/>
    </row>
    <row r="16" spans="1:15" ht="15.75" customHeight="1">
      <c r="B16" s="3" t="s">
        <v>43</v>
      </c>
      <c r="D16" s="3" t="s">
        <v>44</v>
      </c>
      <c r="K16" s="25"/>
      <c r="L16" s="8"/>
      <c r="M16" s="8"/>
      <c r="N16" s="48"/>
      <c r="O16" s="48"/>
    </row>
    <row r="17" spans="1:15" ht="15.75" customHeight="1">
      <c r="B17" s="3" t="s">
        <v>401</v>
      </c>
      <c r="C17" s="3" t="s">
        <v>402</v>
      </c>
      <c r="D17" s="3" t="s">
        <v>401</v>
      </c>
      <c r="E17" s="3" t="s">
        <v>402</v>
      </c>
      <c r="K17" s="25"/>
      <c r="L17" s="8"/>
      <c r="M17" s="8"/>
      <c r="N17" s="48"/>
      <c r="O17" s="48"/>
    </row>
    <row r="18" spans="1:15" ht="15.75" customHeight="1">
      <c r="A18" s="3" t="s">
        <v>46</v>
      </c>
      <c r="B18" s="8">
        <f>B14*165</f>
        <v>1086215625</v>
      </c>
      <c r="C18" s="8">
        <f t="shared" ref="C18" si="4">C14*165</f>
        <v>594618750</v>
      </c>
      <c r="D18" s="7">
        <f t="shared" ref="D18:E18" si="5">B18/1000</f>
        <v>1086215.625</v>
      </c>
      <c r="E18" s="7">
        <f t="shared" si="5"/>
        <v>594618.75</v>
      </c>
      <c r="K18" s="25"/>
      <c r="L18" s="8"/>
      <c r="M18" s="8"/>
      <c r="N18" s="48"/>
      <c r="O18" s="48"/>
    </row>
    <row r="19" spans="1:15" ht="15.75" customHeight="1">
      <c r="A19" s="3" t="s">
        <v>48</v>
      </c>
      <c r="B19" s="8">
        <f>B15*400</f>
        <v>1685280000</v>
      </c>
      <c r="C19" s="8">
        <f>C15*400</f>
        <v>922560000</v>
      </c>
      <c r="D19" s="7">
        <f t="shared" ref="D19:E19" si="6">B19/1000</f>
        <v>1685280</v>
      </c>
      <c r="E19" s="7">
        <f t="shared" si="6"/>
        <v>922560</v>
      </c>
      <c r="K19" s="25"/>
      <c r="L19" s="8"/>
      <c r="M19" s="8"/>
      <c r="N19" s="48"/>
      <c r="O19" s="48"/>
    </row>
    <row r="20" spans="1:15" ht="15.75" customHeight="1">
      <c r="A20" s="25"/>
      <c r="B20" s="35"/>
      <c r="C20" s="35"/>
      <c r="D20" s="36"/>
      <c r="E20" s="8"/>
      <c r="K20" s="25"/>
      <c r="L20" s="8"/>
      <c r="M20" s="8"/>
      <c r="N20" s="48"/>
      <c r="O20" s="48"/>
    </row>
    <row r="21" spans="1:15" ht="15.75" customHeight="1">
      <c r="A21" s="25"/>
      <c r="B21" s="35"/>
      <c r="C21" s="35"/>
      <c r="D21" s="36"/>
      <c r="E21" s="8"/>
      <c r="K21" s="25"/>
      <c r="L21" s="8"/>
      <c r="M21" s="8"/>
      <c r="N21" s="48"/>
      <c r="O21" s="48"/>
    </row>
    <row r="22" spans="1:15" s="52" customFormat="1" ht="15.75" customHeight="1">
      <c r="A22" s="52" t="s">
        <v>512</v>
      </c>
      <c r="C22" s="56"/>
      <c r="D22" s="57"/>
      <c r="N22" s="53"/>
      <c r="O22" s="53"/>
    </row>
    <row r="23" spans="1:15" ht="15.75" customHeight="1">
      <c r="A23" s="6" t="s">
        <v>225</v>
      </c>
      <c r="B23" s="3" t="s">
        <v>228</v>
      </c>
      <c r="C23" s="37" t="s">
        <v>414</v>
      </c>
      <c r="D23" s="3" t="s">
        <v>415</v>
      </c>
      <c r="N23" s="48"/>
      <c r="O23" s="48"/>
    </row>
    <row r="24" spans="1:15" ht="15.75" customHeight="1">
      <c r="A24" s="3" t="s">
        <v>74</v>
      </c>
      <c r="B24" s="59">
        <v>52</v>
      </c>
      <c r="C24" s="35" t="s">
        <v>416</v>
      </c>
      <c r="D24" s="35" t="s">
        <v>416</v>
      </c>
      <c r="N24" s="48"/>
      <c r="O24" s="48"/>
    </row>
    <row r="25" spans="1:15" ht="15.75" customHeight="1">
      <c r="A25" s="3" t="s">
        <v>9</v>
      </c>
      <c r="B25" s="38">
        <v>7644000</v>
      </c>
      <c r="C25" s="38">
        <v>552000</v>
      </c>
      <c r="D25" s="38">
        <v>6680000</v>
      </c>
      <c r="N25" s="48"/>
      <c r="O25" s="48"/>
    </row>
    <row r="26" spans="1:15" ht="15.75" customHeight="1">
      <c r="A26" s="3" t="s">
        <v>39</v>
      </c>
      <c r="B26" s="39" t="s">
        <v>417</v>
      </c>
      <c r="C26" s="35" t="s">
        <v>416</v>
      </c>
      <c r="D26" s="59">
        <v>1502</v>
      </c>
    </row>
    <row r="27" spans="1:15" ht="15.75" customHeight="1">
      <c r="A27" s="3" t="s">
        <v>18</v>
      </c>
      <c r="B27" s="59">
        <v>24800</v>
      </c>
      <c r="C27" s="35" t="s">
        <v>416</v>
      </c>
      <c r="D27" s="59">
        <v>54500</v>
      </c>
    </row>
    <row r="29" spans="1:15" ht="15.75" customHeight="1">
      <c r="B29" s="3" t="s">
        <v>611</v>
      </c>
      <c r="K29" s="48"/>
    </row>
    <row r="30" spans="1:15" ht="15.75" customHeight="1">
      <c r="A30" s="3" t="s">
        <v>35</v>
      </c>
      <c r="B30" s="3" t="s">
        <v>228</v>
      </c>
      <c r="C30" s="37" t="s">
        <v>414</v>
      </c>
      <c r="D30" s="3" t="s">
        <v>415</v>
      </c>
      <c r="K30" s="48"/>
    </row>
    <row r="31" spans="1:15" ht="15.75" customHeight="1">
      <c r="A31" s="3" t="s">
        <v>38</v>
      </c>
      <c r="B31" s="8">
        <f>B25/1.6</f>
        <v>4777500</v>
      </c>
      <c r="C31" s="8">
        <f>C25/1.6</f>
        <v>345000</v>
      </c>
      <c r="D31" s="8">
        <f>D25/1.6</f>
        <v>4175000</v>
      </c>
      <c r="K31" s="48"/>
    </row>
    <row r="32" spans="1:15" ht="15.75" customHeight="1">
      <c r="A32" s="3" t="s">
        <v>40</v>
      </c>
      <c r="B32" s="8">
        <f>B25/2.5</f>
        <v>3057600</v>
      </c>
      <c r="C32" s="8">
        <f>C25/2.5</f>
        <v>220800</v>
      </c>
      <c r="D32" s="8">
        <f>D25/2.5</f>
        <v>2672000</v>
      </c>
      <c r="K32" s="48"/>
    </row>
    <row r="33" spans="1:11" ht="15.75" customHeight="1">
      <c r="B33" s="3" t="s">
        <v>610</v>
      </c>
      <c r="E33" s="3" t="s">
        <v>609</v>
      </c>
      <c r="K33" s="48"/>
    </row>
    <row r="34" spans="1:11" ht="15.75" customHeight="1">
      <c r="B34" s="3" t="s">
        <v>228</v>
      </c>
      <c r="C34" s="37" t="s">
        <v>414</v>
      </c>
      <c r="D34" s="3" t="s">
        <v>415</v>
      </c>
      <c r="E34" s="52" t="s">
        <v>228</v>
      </c>
      <c r="F34" s="37" t="s">
        <v>414</v>
      </c>
      <c r="G34" s="52" t="s">
        <v>415</v>
      </c>
      <c r="K34" s="48"/>
    </row>
    <row r="35" spans="1:11" ht="15.75" customHeight="1">
      <c r="A35" s="3" t="s">
        <v>46</v>
      </c>
      <c r="B35" s="8">
        <f t="shared" ref="B35:D35" si="7">B31*165</f>
        <v>788287500</v>
      </c>
      <c r="C35" s="8">
        <f t="shared" si="7"/>
        <v>56925000</v>
      </c>
      <c r="D35" s="8">
        <f t="shared" si="7"/>
        <v>688875000</v>
      </c>
      <c r="E35" s="7">
        <f t="shared" ref="E35:G35" si="8">B35/1000</f>
        <v>788287.5</v>
      </c>
      <c r="F35" s="14">
        <f t="shared" si="8"/>
        <v>56925</v>
      </c>
      <c r="G35" s="7">
        <f t="shared" si="8"/>
        <v>688875</v>
      </c>
      <c r="K35" s="48"/>
    </row>
    <row r="36" spans="1:11" ht="15.75" customHeight="1">
      <c r="A36" s="3" t="s">
        <v>48</v>
      </c>
      <c r="B36" s="8">
        <f t="shared" ref="B36:D36" si="9">B32*400</f>
        <v>1223040000</v>
      </c>
      <c r="C36" s="8">
        <f t="shared" si="9"/>
        <v>88320000</v>
      </c>
      <c r="D36" s="8">
        <f t="shared" si="9"/>
        <v>1068800000</v>
      </c>
      <c r="E36" s="7">
        <f t="shared" ref="E36:G36" si="10">B36/1000</f>
        <v>1223040</v>
      </c>
      <c r="F36" s="14">
        <f t="shared" si="10"/>
        <v>88320</v>
      </c>
      <c r="G36" s="7">
        <f t="shared" si="10"/>
        <v>1068800</v>
      </c>
      <c r="K36" s="48"/>
    </row>
    <row r="37" spans="1:11" ht="15.75" customHeight="1">
      <c r="F37" s="5" t="s">
        <v>418</v>
      </c>
      <c r="K37" s="48"/>
    </row>
    <row r="38" spans="1:11" ht="15.75" customHeight="1">
      <c r="K38" s="48"/>
    </row>
    <row r="39" spans="1:11" ht="15.75" customHeight="1">
      <c r="K39" s="48"/>
    </row>
    <row r="40" spans="1:11" s="52" customFormat="1" ht="15.75" customHeight="1">
      <c r="A40" s="52" t="s">
        <v>109</v>
      </c>
      <c r="K40" s="53"/>
    </row>
    <row r="41" spans="1:11" s="52" customFormat="1" ht="16">
      <c r="A41" s="52" t="s">
        <v>110</v>
      </c>
      <c r="K41" s="53"/>
    </row>
    <row r="42" spans="1:11" ht="15.75" customHeight="1">
      <c r="A42" s="6" t="s">
        <v>111</v>
      </c>
      <c r="K42" s="48"/>
    </row>
    <row r="43" spans="1:11" ht="13">
      <c r="A43" s="3" t="s">
        <v>112</v>
      </c>
      <c r="K43" s="48"/>
    </row>
    <row r="44" spans="1:11" ht="16">
      <c r="A44" s="24"/>
      <c r="B44" s="3" t="s">
        <v>419</v>
      </c>
    </row>
    <row r="45" spans="1:11" ht="15.75" customHeight="1">
      <c r="A45" s="3" t="s">
        <v>189</v>
      </c>
      <c r="B45" s="3">
        <v>1500</v>
      </c>
    </row>
    <row r="46" spans="1:11" ht="15.75" customHeight="1">
      <c r="A46" s="24" t="s">
        <v>10</v>
      </c>
      <c r="B46" s="49">
        <v>1050</v>
      </c>
    </row>
    <row r="47" spans="1:11" ht="15.75" customHeight="1">
      <c r="A47" s="24" t="s">
        <v>191</v>
      </c>
      <c r="B47" s="3">
        <v>250</v>
      </c>
    </row>
    <row r="48" spans="1:11" ht="15.75" customHeight="1">
      <c r="A48" s="24"/>
      <c r="B48" s="25"/>
    </row>
    <row r="49" spans="1:12" s="52" customFormat="1" ht="15.75" customHeight="1">
      <c r="A49" s="52" t="s">
        <v>420</v>
      </c>
    </row>
    <row r="50" spans="1:12" ht="15.75" customHeight="1">
      <c r="A50" s="3" t="s">
        <v>425</v>
      </c>
      <c r="C50" s="3" t="s">
        <v>421</v>
      </c>
    </row>
    <row r="51" spans="1:12" ht="15.75" customHeight="1">
      <c r="A51" s="40" t="s">
        <v>422</v>
      </c>
      <c r="B51" s="3" t="s">
        <v>38</v>
      </c>
      <c r="C51" s="8">
        <f>27200000*1600</f>
        <v>43520000000</v>
      </c>
    </row>
    <row r="52" spans="1:12" ht="15.75" customHeight="1">
      <c r="A52" s="41" t="s">
        <v>423</v>
      </c>
      <c r="B52" s="3" t="s">
        <v>40</v>
      </c>
      <c r="C52" s="8">
        <f>27200000*2500</f>
        <v>68000000000</v>
      </c>
    </row>
    <row r="53" spans="1:12" ht="15.75" customHeight="1">
      <c r="A53" s="11" t="s">
        <v>424</v>
      </c>
      <c r="C53" s="3" t="s">
        <v>43</v>
      </c>
      <c r="D53" s="3" t="s">
        <v>44</v>
      </c>
      <c r="E53" s="3" t="s">
        <v>340</v>
      </c>
    </row>
    <row r="54" spans="1:12" ht="15.75" customHeight="1">
      <c r="A54" s="6" t="s">
        <v>426</v>
      </c>
      <c r="B54" s="3" t="s">
        <v>46</v>
      </c>
      <c r="C54" s="8">
        <f>27200000*165</f>
        <v>4488000000</v>
      </c>
      <c r="D54" s="8">
        <f t="shared" ref="D54:D55" si="11">C54/1000</f>
        <v>4488000</v>
      </c>
      <c r="E54" s="8">
        <f t="shared" ref="E54:E55" si="12">D54/22.5</f>
        <v>199466.66666666666</v>
      </c>
    </row>
    <row r="55" spans="1:12" ht="15.75" customHeight="1">
      <c r="B55" s="3" t="s">
        <v>48</v>
      </c>
      <c r="C55" s="8">
        <f>27200000*400</f>
        <v>10880000000</v>
      </c>
      <c r="D55" s="8">
        <f t="shared" si="11"/>
        <v>10880000</v>
      </c>
      <c r="E55" s="8">
        <f t="shared" si="12"/>
        <v>483555.55555555556</v>
      </c>
    </row>
    <row r="57" spans="1:12" ht="15.75" customHeight="1">
      <c r="C57" s="3" t="s">
        <v>427</v>
      </c>
    </row>
    <row r="58" spans="1:12" ht="15.75" customHeight="1">
      <c r="C58" s="8">
        <f>463000/22.5</f>
        <v>20577.777777777777</v>
      </c>
    </row>
    <row r="60" spans="1:12" ht="14">
      <c r="A60" s="48"/>
      <c r="F60" s="22"/>
      <c r="I60" s="22"/>
      <c r="J60" s="22"/>
      <c r="K60" s="22"/>
      <c r="L60" s="22"/>
    </row>
    <row r="61" spans="1:12" ht="15.75" customHeight="1">
      <c r="C61" s="22"/>
      <c r="D61" s="22"/>
      <c r="E61" s="22"/>
      <c r="F61" s="32"/>
      <c r="H61" s="42"/>
      <c r="I61" s="42"/>
      <c r="J61" s="42"/>
      <c r="K61" s="42"/>
      <c r="L61" s="42"/>
    </row>
    <row r="62" spans="1:12" ht="15.75" customHeight="1">
      <c r="B62" s="32"/>
      <c r="C62" s="32"/>
      <c r="D62" s="32"/>
      <c r="E62" s="32"/>
      <c r="H62" s="42"/>
      <c r="I62" s="42"/>
      <c r="J62" s="42"/>
      <c r="K62" s="42"/>
      <c r="L62" s="42"/>
    </row>
    <row r="63" spans="1:12" ht="15.75" customHeight="1">
      <c r="B63" s="32"/>
      <c r="F63" s="32"/>
      <c r="H63" s="42"/>
      <c r="I63" s="42"/>
      <c r="J63" s="42"/>
      <c r="K63" s="42"/>
      <c r="L63" s="42"/>
    </row>
    <row r="64" spans="1:12" ht="15.75" customHeight="1">
      <c r="B64" s="32"/>
      <c r="C64" s="32"/>
      <c r="F64" s="32"/>
      <c r="H64" s="42"/>
      <c r="I64" s="42"/>
      <c r="J64" s="42"/>
      <c r="K64" s="42"/>
      <c r="L64" s="42"/>
    </row>
    <row r="65" spans="1:12" ht="15.75" customHeight="1">
      <c r="B65" s="32"/>
      <c r="C65" s="32"/>
      <c r="D65" s="32"/>
      <c r="E65" s="32"/>
      <c r="F65" s="32"/>
      <c r="H65" s="42"/>
      <c r="I65" s="42"/>
      <c r="J65" s="42"/>
      <c r="K65" s="42"/>
      <c r="L65" s="42"/>
    </row>
    <row r="66" spans="1:12" ht="15.75" customHeight="1">
      <c r="E66" s="32"/>
      <c r="H66" s="42"/>
      <c r="I66" s="42"/>
      <c r="J66" s="42"/>
      <c r="K66" s="42"/>
      <c r="L66" s="42"/>
    </row>
    <row r="67" spans="1:12" ht="15.75" customHeight="1">
      <c r="B67" s="32"/>
      <c r="C67" s="32"/>
      <c r="D67" s="32"/>
      <c r="E67" s="32"/>
      <c r="F67" s="32"/>
      <c r="H67" s="42"/>
      <c r="I67" s="42"/>
      <c r="J67" s="42"/>
      <c r="K67" s="42"/>
      <c r="L67" s="42"/>
    </row>
    <row r="68" spans="1:12" ht="15.75" customHeight="1">
      <c r="B68" s="32"/>
      <c r="C68" s="32"/>
      <c r="D68" s="32"/>
      <c r="E68" s="32"/>
    </row>
    <row r="70" spans="1:12" ht="13"/>
    <row r="71" spans="1:12" ht="15.75" customHeight="1">
      <c r="D71" s="32"/>
    </row>
    <row r="79" spans="1:12" ht="13"/>
    <row r="80" spans="1:12" ht="15.75" customHeight="1">
      <c r="A80" s="3"/>
    </row>
  </sheetData>
  <hyperlinks>
    <hyperlink ref="A6" r:id="rId1" xr:uid="{00000000-0004-0000-0900-000000000000}"/>
    <hyperlink ref="A23" r:id="rId2" xr:uid="{00000000-0004-0000-0900-000001000000}"/>
    <hyperlink ref="A42" r:id="rId3" xr:uid="{00000000-0004-0000-0900-000002000000}"/>
    <hyperlink ref="A54" r:id="rId4" xr:uid="{00000000-0004-0000-0900-000004000000}"/>
    <hyperlink ref="A53" r:id="rId5" xr:uid="{00000000-0004-0000-0900-000003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M72"/>
  <sheetViews>
    <sheetView workbookViewId="0">
      <selection activeCell="G24" sqref="G24"/>
    </sheetView>
  </sheetViews>
  <sheetFormatPr baseColWidth="10" defaultColWidth="14.5" defaultRowHeight="15.75" customHeight="1"/>
  <cols>
    <col min="1" max="1" width="26.1640625" customWidth="1"/>
    <col min="2" max="2" width="25.83203125" bestFit="1" customWidth="1"/>
    <col min="3" max="3" width="19.6640625" customWidth="1"/>
    <col min="7" max="7" width="31.33203125" bestFit="1" customWidth="1"/>
    <col min="8" max="8" width="31.1640625" customWidth="1"/>
    <col min="9" max="9" width="29" customWidth="1"/>
    <col min="10" max="12" width="16.33203125" bestFit="1" customWidth="1"/>
  </cols>
  <sheetData>
    <row r="1" spans="1:13" ht="15.75" customHeight="1">
      <c r="A1" s="4" t="s">
        <v>24</v>
      </c>
    </row>
    <row r="2" spans="1:13" ht="15.75" customHeight="1">
      <c r="A2" s="5" t="s">
        <v>25</v>
      </c>
    </row>
    <row r="4" spans="1:13" s="52" customFormat="1" ht="15.75" customHeight="1">
      <c r="A4" s="52" t="s">
        <v>514</v>
      </c>
    </row>
    <row r="5" spans="1:13" s="52" customFormat="1" ht="15.75" customHeight="1">
      <c r="A5" s="52" t="s">
        <v>438</v>
      </c>
    </row>
    <row r="6" spans="1:13" ht="15.75" customHeight="1">
      <c r="A6" s="3" t="s">
        <v>608</v>
      </c>
      <c r="E6" s="51" t="s">
        <v>613</v>
      </c>
      <c r="I6" s="3" t="s">
        <v>434</v>
      </c>
      <c r="J6" s="3" t="s">
        <v>435</v>
      </c>
      <c r="K6" s="3" t="s">
        <v>436</v>
      </c>
      <c r="L6" s="3" t="s">
        <v>437</v>
      </c>
    </row>
    <row r="7" spans="1:13" ht="15.75" customHeight="1">
      <c r="A7" s="3" t="s">
        <v>403</v>
      </c>
      <c r="B7" s="3" t="s">
        <v>433</v>
      </c>
      <c r="C7" s="48"/>
      <c r="E7" s="3" t="s">
        <v>439</v>
      </c>
      <c r="F7" s="3" t="s">
        <v>440</v>
      </c>
      <c r="G7" s="3" t="s">
        <v>441</v>
      </c>
      <c r="H7" s="3" t="s">
        <v>442</v>
      </c>
      <c r="J7" s="3" t="s">
        <v>443</v>
      </c>
      <c r="L7" s="36">
        <f>349*30*10^6</f>
        <v>10470000000</v>
      </c>
    </row>
    <row r="8" spans="1:13" ht="15.75" customHeight="1">
      <c r="A8" s="3" t="s">
        <v>444</v>
      </c>
      <c r="B8" s="60">
        <f>G8/0.3033+H8/0.133</f>
        <v>76061.263452631581</v>
      </c>
      <c r="C8" s="48"/>
      <c r="D8" s="25" t="s">
        <v>444</v>
      </c>
      <c r="E8" s="3">
        <v>0.28999999999999998</v>
      </c>
      <c r="F8" s="32">
        <v>1.4999999999999999E-2</v>
      </c>
      <c r="G8" s="36">
        <f>$J$8*E8/10^6</f>
        <v>20110.136652000001</v>
      </c>
      <c r="H8" s="36">
        <f>F8*$J$11/10^6</f>
        <v>1297.6575192000003</v>
      </c>
      <c r="J8" s="38">
        <f>30*8760*0.87*303.3*1000</f>
        <v>69345298800</v>
      </c>
    </row>
    <row r="9" spans="1:13" ht="15.75" customHeight="1">
      <c r="A9" s="3" t="s">
        <v>18</v>
      </c>
      <c r="B9" s="36">
        <f>G9/0.3033+H9/0.133</f>
        <v>136433.46649263159</v>
      </c>
      <c r="C9" s="48"/>
      <c r="D9" s="25" t="s">
        <v>18</v>
      </c>
      <c r="E9" s="3">
        <v>0.5</v>
      </c>
      <c r="F9" s="32">
        <v>3.4000000000000002E-2</v>
      </c>
      <c r="G9" s="36">
        <f>$J$8*E9/10^6</f>
        <v>34672.649400000002</v>
      </c>
      <c r="H9" s="36">
        <f>F9*$J$11/10^6</f>
        <v>2941.3570435200008</v>
      </c>
    </row>
    <row r="10" spans="1:13" ht="15.75" customHeight="1">
      <c r="A10" s="3" t="s">
        <v>432</v>
      </c>
      <c r="B10" s="36">
        <f>G10/0.3033+H10/0.133</f>
        <v>3914.4508143157896</v>
      </c>
      <c r="C10" s="48"/>
      <c r="D10" s="25" t="s">
        <v>432</v>
      </c>
      <c r="E10" s="32">
        <v>1.2E-2</v>
      </c>
      <c r="F10" s="32">
        <v>1.8E-3</v>
      </c>
      <c r="G10" s="36">
        <f>$J$8*E10/10^6</f>
        <v>832.14358560000005</v>
      </c>
      <c r="H10" s="36">
        <f>F10*$J$11/10^6</f>
        <v>155.71890230400001</v>
      </c>
      <c r="J10" s="3" t="s">
        <v>445</v>
      </c>
      <c r="K10" s="3" t="s">
        <v>446</v>
      </c>
    </row>
    <row r="11" spans="1:13" ht="15.75" customHeight="1">
      <c r="A11" s="3" t="s">
        <v>447</v>
      </c>
      <c r="B11" s="60">
        <f>G11/0.3033+H11/0.133</f>
        <v>2386.3014015157892</v>
      </c>
      <c r="C11" s="48"/>
      <c r="D11" s="25" t="s">
        <v>447</v>
      </c>
      <c r="E11" s="32">
        <v>9.1000000000000004E-3</v>
      </c>
      <c r="F11" s="32">
        <v>4.6999999999999999E-4</v>
      </c>
      <c r="G11" s="36">
        <f>$J$8*E11/10^6</f>
        <v>631.04221908</v>
      </c>
      <c r="H11" s="36">
        <f>F11*$J$11/10^6</f>
        <v>40.659935601600004</v>
      </c>
      <c r="J11" s="36">
        <f>91441/1000*3600*8760*30</f>
        <v>86510501280.000015</v>
      </c>
    </row>
    <row r="12" spans="1:13" ht="15.75" customHeight="1">
      <c r="A12" s="3" t="s">
        <v>39</v>
      </c>
      <c r="B12" s="60">
        <f>G12/0.3033+H12/0.133</f>
        <v>597.41283865263154</v>
      </c>
      <c r="C12" s="48"/>
      <c r="D12" s="25" t="s">
        <v>39</v>
      </c>
      <c r="E12" s="32">
        <v>2.3E-3</v>
      </c>
      <c r="F12" s="32">
        <v>1.1E-4</v>
      </c>
      <c r="G12" s="36">
        <f>$J$8*E12/10^6</f>
        <v>159.49418724</v>
      </c>
      <c r="H12" s="36">
        <f>F12*$J$11/10^6</f>
        <v>9.5161551408000005</v>
      </c>
    </row>
    <row r="13" spans="1:13" ht="15.75" customHeight="1">
      <c r="A13" s="3" t="s">
        <v>431</v>
      </c>
      <c r="B13" s="36">
        <f>G13/0.3033+H13/0.133</f>
        <v>7602.5521546105256</v>
      </c>
      <c r="C13" s="48"/>
      <c r="D13" s="25" t="s">
        <v>431</v>
      </c>
      <c r="E13" s="32">
        <v>3.2000000000000001E-2</v>
      </c>
      <c r="F13" s="32">
        <v>4.4000000000000002E-4</v>
      </c>
      <c r="G13" s="36">
        <f>$J$8*E13/10^6</f>
        <v>2219.0495615999998</v>
      </c>
      <c r="H13" s="36">
        <f>F13*$J$11/10^6</f>
        <v>38.064620563200002</v>
      </c>
    </row>
    <row r="14" spans="1:13" ht="15.75" customHeight="1">
      <c r="A14" s="3" t="s">
        <v>428</v>
      </c>
      <c r="B14" s="36">
        <f>G14/0.3033+H14/0.133</f>
        <v>38337.988221473686</v>
      </c>
      <c r="C14" s="48"/>
      <c r="D14" s="25" t="s">
        <v>428</v>
      </c>
      <c r="E14" s="3">
        <v>0.16</v>
      </c>
      <c r="F14" s="32">
        <v>2.7000000000000001E-3</v>
      </c>
      <c r="G14" s="36">
        <f>$J$8*E14/10^6</f>
        <v>11095.247808</v>
      </c>
      <c r="H14" s="36">
        <f>F14*$J$11/10^6</f>
        <v>233.57835345600006</v>
      </c>
      <c r="L14" s="8"/>
    </row>
    <row r="15" spans="1:13" ht="15.75" customHeight="1">
      <c r="A15" s="3" t="s">
        <v>247</v>
      </c>
      <c r="B15" s="36">
        <f>G15/0.3033+H15/0.133</f>
        <v>732.80601881431573</v>
      </c>
      <c r="C15" s="48"/>
      <c r="D15" s="25" t="s">
        <v>247</v>
      </c>
      <c r="E15" s="32">
        <v>3.2000000000000002E-3</v>
      </c>
      <c r="F15" s="32">
        <v>1.7999999999999999E-6</v>
      </c>
      <c r="G15" s="36">
        <f>$J$8*E15/10^6</f>
        <v>221.90495615999998</v>
      </c>
      <c r="H15" s="36">
        <f>F15*$J$11/10^6</f>
        <v>0.15571890230400001</v>
      </c>
      <c r="L15" s="3"/>
    </row>
    <row r="16" spans="1:13" ht="15.75" customHeight="1">
      <c r="A16" s="3" t="s">
        <v>430</v>
      </c>
      <c r="B16" s="36">
        <f>G16/0.3033+H16/0.133</f>
        <v>2149.1784000000002</v>
      </c>
      <c r="C16" s="48"/>
      <c r="D16" s="25" t="s">
        <v>430</v>
      </c>
      <c r="E16" s="32">
        <v>9.4000000000000004E-3</v>
      </c>
      <c r="F16" s="3" t="s">
        <v>416</v>
      </c>
      <c r="G16" s="36">
        <f>$J$8*E16/10^6</f>
        <v>651.84580872000004</v>
      </c>
      <c r="H16" s="36"/>
      <c r="M16" s="8"/>
    </row>
    <row r="17" spans="1:5" ht="15.75" customHeight="1">
      <c r="A17" s="25" t="s">
        <v>612</v>
      </c>
      <c r="B17" s="61">
        <f>SUM(B9:B10)</f>
        <v>140347.91730694738</v>
      </c>
      <c r="C17" s="48"/>
    </row>
    <row r="18" spans="1:5" ht="15.75" customHeight="1">
      <c r="C18" s="48"/>
    </row>
    <row r="21" spans="1:5" s="52" customFormat="1" ht="15.75" customHeight="1">
      <c r="A21" s="52" t="s">
        <v>623</v>
      </c>
    </row>
    <row r="22" spans="1:5" s="52" customFormat="1" ht="15.75" customHeight="1">
      <c r="A22" s="52" t="s">
        <v>225</v>
      </c>
    </row>
    <row r="23" spans="1:5" ht="15.75" customHeight="1">
      <c r="A23" s="51" t="s">
        <v>32</v>
      </c>
      <c r="B23" s="35" t="s">
        <v>448</v>
      </c>
      <c r="C23" s="35" t="s">
        <v>449</v>
      </c>
      <c r="D23" s="3" t="s">
        <v>450</v>
      </c>
      <c r="E23" s="3" t="s">
        <v>451</v>
      </c>
    </row>
    <row r="24" spans="1:5" ht="15.75" customHeight="1">
      <c r="A24" s="3" t="s">
        <v>74</v>
      </c>
      <c r="B24" s="59">
        <v>46100</v>
      </c>
      <c r="C24" s="48">
        <v>0</v>
      </c>
      <c r="D24" s="59">
        <v>45200</v>
      </c>
      <c r="E24" s="59">
        <v>42600</v>
      </c>
    </row>
    <row r="25" spans="1:5" ht="15.75" customHeight="1">
      <c r="A25" s="3" t="s">
        <v>9</v>
      </c>
      <c r="B25" s="38">
        <v>459000</v>
      </c>
      <c r="C25" s="38">
        <v>159000</v>
      </c>
      <c r="D25" s="38">
        <v>460000</v>
      </c>
      <c r="E25" s="38">
        <v>460000</v>
      </c>
    </row>
    <row r="26" spans="1:5" ht="15.75" customHeight="1">
      <c r="A26" s="3" t="s">
        <v>20</v>
      </c>
      <c r="B26" s="59">
        <v>87400</v>
      </c>
      <c r="C26" s="59">
        <v>232000</v>
      </c>
      <c r="D26" s="59">
        <v>988000</v>
      </c>
      <c r="E26" s="59">
        <v>987000</v>
      </c>
    </row>
    <row r="27" spans="1:5" ht="15.75" customHeight="1">
      <c r="A27" s="3" t="s">
        <v>429</v>
      </c>
      <c r="B27" s="38">
        <v>34000</v>
      </c>
      <c r="C27" s="38">
        <v>77000</v>
      </c>
      <c r="D27" s="38">
        <v>283000</v>
      </c>
      <c r="E27" s="38">
        <v>282000</v>
      </c>
    </row>
    <row r="28" spans="1:5" ht="15.75" customHeight="1">
      <c r="A28" s="3" t="s">
        <v>18</v>
      </c>
      <c r="B28" s="59">
        <v>356000</v>
      </c>
      <c r="C28" s="59">
        <v>295000</v>
      </c>
      <c r="D28" s="59">
        <v>1206000</v>
      </c>
      <c r="E28" s="59">
        <v>1175000</v>
      </c>
    </row>
    <row r="29" spans="1:5" ht="15.75" customHeight="1">
      <c r="A29" s="25"/>
      <c r="B29" s="38"/>
      <c r="C29" s="38"/>
      <c r="D29" s="38"/>
      <c r="E29" s="38"/>
    </row>
    <row r="30" spans="1:5" s="52" customFormat="1" ht="15.75" customHeight="1">
      <c r="A30" s="52" t="s">
        <v>515</v>
      </c>
    </row>
    <row r="31" spans="1:5" ht="15.75" customHeight="1">
      <c r="A31" s="6" t="s">
        <v>452</v>
      </c>
    </row>
    <row r="32" spans="1:5" ht="15.75" customHeight="1">
      <c r="A32" s="6"/>
    </row>
    <row r="33" spans="1:10" ht="15.75" customHeight="1">
      <c r="A33" s="3" t="s">
        <v>614</v>
      </c>
      <c r="B33" s="3" t="s">
        <v>453</v>
      </c>
      <c r="C33" s="3" t="s">
        <v>454</v>
      </c>
      <c r="D33" s="3" t="s">
        <v>455</v>
      </c>
      <c r="E33" s="3" t="s">
        <v>456</v>
      </c>
      <c r="F33" s="3" t="s">
        <v>457</v>
      </c>
    </row>
    <row r="34" spans="1:10" ht="15.75" customHeight="1">
      <c r="A34" s="25"/>
      <c r="B34" s="25"/>
      <c r="C34" s="25"/>
      <c r="D34" s="25"/>
      <c r="E34" s="25"/>
      <c r="F34" s="25"/>
    </row>
    <row r="35" spans="1:10" ht="15.75" customHeight="1">
      <c r="B35" s="3" t="s">
        <v>271</v>
      </c>
      <c r="C35" s="3" t="s">
        <v>458</v>
      </c>
      <c r="D35" s="3" t="s">
        <v>459</v>
      </c>
    </row>
    <row r="36" spans="1:10" ht="15.75" customHeight="1">
      <c r="A36" s="3" t="s">
        <v>20</v>
      </c>
      <c r="B36" s="8">
        <f>0.00081+0.000016</f>
        <v>8.2599999999999991E-4</v>
      </c>
      <c r="C36" s="8">
        <f t="shared" ref="C36:C45" si="0">(21760+1280)*10^6*B36/1000</f>
        <v>19031.039999999997</v>
      </c>
      <c r="D36" s="43">
        <f t="shared" ref="D36:D45" si="1">C36/0.061</f>
        <v>311984.26229508192</v>
      </c>
    </row>
    <row r="37" spans="1:10" ht="15.75" customHeight="1">
      <c r="A37" s="3" t="s">
        <v>18</v>
      </c>
      <c r="B37" s="8">
        <f>0.00033+0.00000077</f>
        <v>3.3076999999999998E-4</v>
      </c>
      <c r="C37" s="8">
        <f>(21760+1280)*10^6*B37/1000</f>
        <v>7620.9407999999994</v>
      </c>
      <c r="D37" s="43">
        <f t="shared" si="1"/>
        <v>124933.45573770491</v>
      </c>
    </row>
    <row r="38" spans="1:10" ht="15.75" customHeight="1">
      <c r="A38" s="3" t="s">
        <v>460</v>
      </c>
      <c r="B38" s="8">
        <f>0.00025+0.0000032</f>
        <v>2.5320000000000003E-4</v>
      </c>
      <c r="C38" s="8">
        <f t="shared" si="0"/>
        <v>5833.728000000001</v>
      </c>
      <c r="D38" s="36">
        <f t="shared" si="1"/>
        <v>95634.885245901663</v>
      </c>
    </row>
    <row r="39" spans="1:10" ht="15.75" customHeight="1">
      <c r="A39" s="3" t="s">
        <v>429</v>
      </c>
      <c r="B39" s="8">
        <f>0.000094</f>
        <v>9.3999999999999994E-5</v>
      </c>
      <c r="C39" s="8">
        <f t="shared" si="0"/>
        <v>2165.7600000000002</v>
      </c>
      <c r="D39" s="36">
        <f t="shared" si="1"/>
        <v>35504.262295081971</v>
      </c>
    </row>
    <row r="40" spans="1:10" ht="15.75" customHeight="1">
      <c r="A40" s="3" t="s">
        <v>39</v>
      </c>
      <c r="B40" s="3">
        <f>0.00005</f>
        <v>5.0000000000000002E-5</v>
      </c>
      <c r="C40" s="8">
        <f t="shared" si="0"/>
        <v>1152</v>
      </c>
      <c r="D40" s="43">
        <f t="shared" si="1"/>
        <v>18885.245901639344</v>
      </c>
    </row>
    <row r="41" spans="1:10" ht="15.75" customHeight="1">
      <c r="A41" s="3" t="s">
        <v>461</v>
      </c>
      <c r="B41" s="3">
        <f>0.000035</f>
        <v>3.4999999999999997E-5</v>
      </c>
      <c r="C41" s="8">
        <f t="shared" si="0"/>
        <v>806.39999999999986</v>
      </c>
      <c r="D41" s="36">
        <f t="shared" si="1"/>
        <v>13219.672131147539</v>
      </c>
    </row>
    <row r="42" spans="1:10" ht="15.75" customHeight="1">
      <c r="A42" s="3" t="s">
        <v>74</v>
      </c>
      <c r="B42" s="3">
        <f>0.000027</f>
        <v>2.6999999999999999E-5</v>
      </c>
      <c r="C42" s="8">
        <f t="shared" si="0"/>
        <v>622.08000000000004</v>
      </c>
      <c r="D42" s="43">
        <f t="shared" si="1"/>
        <v>10198.032786885247</v>
      </c>
    </row>
    <row r="43" spans="1:10" ht="15.75" customHeight="1">
      <c r="A43" s="3" t="s">
        <v>462</v>
      </c>
      <c r="B43" s="8">
        <f>0.0000041</f>
        <v>4.0999999999999997E-6</v>
      </c>
      <c r="C43" s="8">
        <f t="shared" si="0"/>
        <v>94.463999999999999</v>
      </c>
      <c r="D43" s="36">
        <f t="shared" si="1"/>
        <v>1548.5901639344263</v>
      </c>
    </row>
    <row r="44" spans="1:10" ht="15.75" customHeight="1">
      <c r="A44" s="3" t="s">
        <v>463</v>
      </c>
      <c r="B44" s="8">
        <f>0.0000028</f>
        <v>2.7999999999999999E-6</v>
      </c>
      <c r="C44" s="8">
        <f t="shared" si="0"/>
        <v>64.512</v>
      </c>
      <c r="D44" s="36">
        <f t="shared" si="1"/>
        <v>1057.5737704918033</v>
      </c>
    </row>
    <row r="45" spans="1:10" ht="15.75" customHeight="1">
      <c r="A45" s="3" t="s">
        <v>464</v>
      </c>
      <c r="B45" s="8">
        <f>0.00000083</f>
        <v>8.2999999999999999E-7</v>
      </c>
      <c r="C45" s="8">
        <f t="shared" si="0"/>
        <v>19.123200000000001</v>
      </c>
      <c r="D45" s="36">
        <f t="shared" si="1"/>
        <v>313.49508196721314</v>
      </c>
    </row>
    <row r="46" spans="1:10" ht="15.75" customHeight="1">
      <c r="D46" s="3"/>
      <c r="E46" s="3"/>
    </row>
    <row r="47" spans="1:10" s="52" customFormat="1" ht="15.75" customHeight="1">
      <c r="A47" s="52" t="s">
        <v>465</v>
      </c>
      <c r="I47" s="52" t="s">
        <v>466</v>
      </c>
      <c r="J47" s="52" t="s">
        <v>467</v>
      </c>
    </row>
    <row r="48" spans="1:10" s="52" customFormat="1" ht="15.75" customHeight="1">
      <c r="A48" s="52" t="s">
        <v>516</v>
      </c>
    </row>
    <row r="49" spans="1:10" ht="15.75" customHeight="1">
      <c r="A49" s="6" t="s">
        <v>468</v>
      </c>
    </row>
    <row r="50" spans="1:10" ht="15.75" customHeight="1">
      <c r="A50" s="3" t="s">
        <v>615</v>
      </c>
      <c r="B50" s="3" t="s">
        <v>469</v>
      </c>
      <c r="C50" s="3" t="s">
        <v>470</v>
      </c>
      <c r="D50" s="3" t="s">
        <v>471</v>
      </c>
      <c r="E50" s="3" t="s">
        <v>472</v>
      </c>
      <c r="F50" s="3" t="s">
        <v>473</v>
      </c>
      <c r="G50" s="3" t="s">
        <v>474</v>
      </c>
      <c r="H50" s="3" t="s">
        <v>475</v>
      </c>
    </row>
    <row r="51" spans="1:10" ht="15.75" customHeight="1">
      <c r="A51" s="3" t="s">
        <v>444</v>
      </c>
      <c r="B51" s="3">
        <v>1737190</v>
      </c>
      <c r="C51" s="3">
        <v>272972</v>
      </c>
      <c r="D51" s="3">
        <v>1230000</v>
      </c>
      <c r="F51" s="44">
        <v>1555660</v>
      </c>
      <c r="H51" s="3">
        <v>637500</v>
      </c>
      <c r="I51" s="8">
        <f>SUM(B51:H51)/1000</f>
        <v>5433.3220000000001</v>
      </c>
      <c r="J51" s="62">
        <f t="shared" ref="J51:J54" si="2">I51/(20/1000)</f>
        <v>271666.09999999998</v>
      </c>
    </row>
    <row r="52" spans="1:10" ht="15.75" customHeight="1">
      <c r="A52" s="3" t="s">
        <v>429</v>
      </c>
      <c r="B52" s="3">
        <v>832324</v>
      </c>
      <c r="C52" s="3">
        <v>130600</v>
      </c>
      <c r="I52" s="8">
        <f>SUM(B52:H52)/1000</f>
        <v>962.92399999999998</v>
      </c>
      <c r="J52" s="8">
        <f t="shared" si="2"/>
        <v>48146.2</v>
      </c>
    </row>
    <row r="53" spans="1:10" ht="16">
      <c r="A53" s="3" t="s">
        <v>74</v>
      </c>
      <c r="D53" s="3">
        <v>9000</v>
      </c>
      <c r="E53" s="3">
        <v>12962</v>
      </c>
      <c r="G53" s="3">
        <v>5680</v>
      </c>
      <c r="H53" s="3">
        <f>500+810</f>
        <v>1310</v>
      </c>
      <c r="I53" s="8">
        <f>SUM(B53:H53)/1000</f>
        <v>28.952000000000002</v>
      </c>
      <c r="J53" s="62">
        <f t="shared" si="2"/>
        <v>1447.6000000000001</v>
      </c>
    </row>
    <row r="54" spans="1:10" ht="16">
      <c r="A54" s="3" t="s">
        <v>39</v>
      </c>
      <c r="F54" s="3">
        <v>4000</v>
      </c>
      <c r="G54" s="3">
        <v>16200</v>
      </c>
      <c r="H54" s="3">
        <f>150+30000</f>
        <v>30150</v>
      </c>
      <c r="I54" s="8">
        <f>SUM(B54:H54)/1000</f>
        <v>50.35</v>
      </c>
      <c r="J54" s="62">
        <f t="shared" si="2"/>
        <v>2517.5</v>
      </c>
    </row>
    <row r="55" spans="1:10" ht="13">
      <c r="A55" s="3"/>
      <c r="B55" s="3"/>
      <c r="C55" s="3"/>
      <c r="D55" s="3"/>
    </row>
    <row r="56" spans="1:10" ht="13">
      <c r="A56" s="3"/>
      <c r="B56" s="3" t="s">
        <v>476</v>
      </c>
      <c r="C56" s="3" t="s">
        <v>32</v>
      </c>
    </row>
    <row r="57" spans="1:10" ht="13">
      <c r="A57" s="3" t="s">
        <v>477</v>
      </c>
      <c r="B57" s="8">
        <f>1458476+228971+43000+163736+313398+9800+600+76400+8080+68250+18000+8190+11500+170000+150000+220000</f>
        <v>2948401</v>
      </c>
      <c r="C57" s="7">
        <f>(B57/1000)/(20/1000)</f>
        <v>147420.04999999999</v>
      </c>
    </row>
    <row r="60" spans="1:10" s="52" customFormat="1" ht="16">
      <c r="A60" s="52" t="s">
        <v>478</v>
      </c>
    </row>
    <row r="61" spans="1:10" s="52" customFormat="1" ht="16">
      <c r="A61" s="52" t="s">
        <v>517</v>
      </c>
    </row>
    <row r="62" spans="1:10" ht="13">
      <c r="A62" s="11" t="s">
        <v>479</v>
      </c>
    </row>
    <row r="63" spans="1:10" ht="13">
      <c r="A63" s="11"/>
      <c r="B63" s="51" t="s">
        <v>622</v>
      </c>
      <c r="D63" s="25"/>
      <c r="E63" s="25"/>
    </row>
    <row r="64" spans="1:10" ht="13">
      <c r="A64" s="3" t="s">
        <v>480</v>
      </c>
      <c r="B64" s="3">
        <v>3.7</v>
      </c>
      <c r="D64" s="25"/>
      <c r="E64" s="25"/>
    </row>
    <row r="65" spans="1:5" ht="13">
      <c r="A65" s="25"/>
      <c r="B65" s="25"/>
      <c r="D65" s="25"/>
      <c r="E65" s="25"/>
    </row>
    <row r="66" spans="1:5" ht="13">
      <c r="C66" s="3" t="s">
        <v>459</v>
      </c>
    </row>
    <row r="67" spans="1:5" ht="13">
      <c r="A67" s="3" t="s">
        <v>428</v>
      </c>
      <c r="B67" s="8">
        <f>747+541</f>
        <v>1288</v>
      </c>
      <c r="C67" s="8">
        <f>B67/($B$64/1000)</f>
        <v>348108.10810810811</v>
      </c>
    </row>
    <row r="68" spans="1:5" ht="13">
      <c r="A68" s="3" t="s">
        <v>429</v>
      </c>
      <c r="B68" s="8">
        <f>98+3</f>
        <v>101</v>
      </c>
      <c r="C68" s="8">
        <f>B68/($B$64/1000)</f>
        <v>27297.297297297297</v>
      </c>
    </row>
    <row r="69" spans="1:5" ht="13">
      <c r="A69" s="3" t="s">
        <v>481</v>
      </c>
      <c r="B69" s="8">
        <f>89+0</f>
        <v>89</v>
      </c>
      <c r="C69" s="8">
        <f>B69/($B$64/1000)</f>
        <v>24054.054054054053</v>
      </c>
    </row>
    <row r="70" spans="1:5" ht="16">
      <c r="A70" s="3" t="s">
        <v>18</v>
      </c>
      <c r="B70" s="8">
        <f>528+391+77+1999+291+33+59</f>
        <v>3378</v>
      </c>
      <c r="C70" s="62">
        <f>B70/($B$64/1000)</f>
        <v>912972.9729729729</v>
      </c>
    </row>
    <row r="71" spans="1:5" ht="16">
      <c r="A71" s="3" t="s">
        <v>444</v>
      </c>
      <c r="B71" s="8">
        <f>448+128+119+32</f>
        <v>727</v>
      </c>
      <c r="C71" s="62">
        <f>B71/($B$64/1000)</f>
        <v>196486.48648648648</v>
      </c>
    </row>
    <row r="72" spans="1:5" ht="15.75" customHeight="1">
      <c r="A72" s="3" t="s">
        <v>74</v>
      </c>
      <c r="B72" s="8">
        <f>11+25+0</f>
        <v>36</v>
      </c>
      <c r="C72" s="62">
        <f>B72/($B$64/1000)</f>
        <v>9729.72972972973</v>
      </c>
    </row>
  </sheetData>
  <hyperlinks>
    <hyperlink ref="A5" r:id="rId1" xr:uid="{00000000-0004-0000-0B00-000000000000}"/>
    <hyperlink ref="A22" r:id="rId2" xr:uid="{00000000-0004-0000-0B00-000001000000}"/>
    <hyperlink ref="A31" r:id="rId3" xr:uid="{00000000-0004-0000-0B00-000002000000}"/>
    <hyperlink ref="A49" r:id="rId4" xr:uid="{00000000-0004-0000-0B00-000003000000}"/>
    <hyperlink ref="A62" r:id="rId5" xr:uid="{00000000-0004-0000-0B00-000004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K29"/>
  <sheetViews>
    <sheetView workbookViewId="0">
      <selection activeCell="I36" sqref="I36"/>
    </sheetView>
  </sheetViews>
  <sheetFormatPr baseColWidth="10" defaultColWidth="14.5" defaultRowHeight="15.75" customHeight="1"/>
  <sheetData>
    <row r="1" spans="1:2" ht="15.75" customHeight="1">
      <c r="A1" s="3" t="s">
        <v>482</v>
      </c>
    </row>
    <row r="2" spans="1:2" ht="15.75" customHeight="1">
      <c r="A2" s="3" t="s">
        <v>483</v>
      </c>
    </row>
    <row r="3" spans="1:2" ht="15.75" customHeight="1">
      <c r="A3" s="3" t="s">
        <v>484</v>
      </c>
    </row>
    <row r="4" spans="1:2" ht="15.75" customHeight="1">
      <c r="A4" s="45" t="s">
        <v>485</v>
      </c>
    </row>
    <row r="5" spans="1:2" ht="15.75" customHeight="1">
      <c r="A5" s="46" t="s">
        <v>486</v>
      </c>
    </row>
    <row r="6" spans="1:2" ht="15.75" customHeight="1">
      <c r="A6" s="4" t="s">
        <v>487</v>
      </c>
    </row>
    <row r="8" spans="1:2" ht="16">
      <c r="A8" s="47" t="s">
        <v>488</v>
      </c>
    </row>
    <row r="9" spans="1:2" ht="15.75" customHeight="1">
      <c r="A9" s="11" t="s">
        <v>489</v>
      </c>
    </row>
    <row r="10" spans="1:2" ht="15.75" customHeight="1">
      <c r="A10" s="46" t="s">
        <v>490</v>
      </c>
    </row>
    <row r="11" spans="1:2" ht="15.75" customHeight="1">
      <c r="B11" s="3" t="s">
        <v>491</v>
      </c>
    </row>
    <row r="12" spans="1:2" ht="15.75" customHeight="1">
      <c r="A12" s="3" t="s">
        <v>492</v>
      </c>
      <c r="B12" s="4">
        <v>0.4</v>
      </c>
    </row>
    <row r="13" spans="1:2" ht="15.75" customHeight="1">
      <c r="A13" s="3" t="s">
        <v>493</v>
      </c>
      <c r="B13" s="4">
        <v>54.7</v>
      </c>
    </row>
    <row r="14" spans="1:2" ht="15.75" customHeight="1">
      <c r="A14" s="3" t="s">
        <v>494</v>
      </c>
      <c r="B14" s="4">
        <v>13.1</v>
      </c>
    </row>
    <row r="15" spans="1:2" ht="15.75" customHeight="1">
      <c r="A15" s="3" t="s">
        <v>495</v>
      </c>
      <c r="B15" s="4">
        <v>31.8</v>
      </c>
    </row>
    <row r="17" spans="1:11" ht="15.75" customHeight="1">
      <c r="A17" s="46" t="s">
        <v>496</v>
      </c>
    </row>
    <row r="18" spans="1:11" ht="15.75" customHeight="1">
      <c r="B18" s="3" t="s">
        <v>497</v>
      </c>
    </row>
    <row r="19" spans="1:11" ht="15.75" customHeight="1">
      <c r="A19" s="3" t="s">
        <v>492</v>
      </c>
      <c r="B19" s="4" t="s">
        <v>498</v>
      </c>
    </row>
    <row r="20" spans="1:11" ht="15.75" customHeight="1">
      <c r="A20" s="3" t="s">
        <v>493</v>
      </c>
      <c r="B20" s="4" t="s">
        <v>499</v>
      </c>
    </row>
    <row r="21" spans="1:11" ht="15.75" customHeight="1">
      <c r="A21" s="3" t="s">
        <v>494</v>
      </c>
      <c r="B21" s="4" t="s">
        <v>500</v>
      </c>
    </row>
    <row r="22" spans="1:11" ht="15.75" customHeight="1">
      <c r="A22" s="3" t="s">
        <v>495</v>
      </c>
      <c r="B22" s="4" t="s">
        <v>501</v>
      </c>
    </row>
    <row r="24" spans="1:11" ht="15.75" customHeight="1">
      <c r="A24" s="3" t="s">
        <v>502</v>
      </c>
      <c r="G24" s="3" t="s">
        <v>503</v>
      </c>
      <c r="K24" s="3" t="s">
        <v>504</v>
      </c>
    </row>
    <row r="25" spans="1:11" ht="15.75" customHeight="1">
      <c r="A25" s="3" t="s">
        <v>505</v>
      </c>
      <c r="G25" s="3" t="s">
        <v>506</v>
      </c>
      <c r="K25" s="3" t="s">
        <v>507</v>
      </c>
    </row>
    <row r="26" spans="1:11" ht="15.75" customHeight="1">
      <c r="A26" s="3" t="s">
        <v>508</v>
      </c>
    </row>
    <row r="27" spans="1:11" ht="15.75" customHeight="1">
      <c r="A27" s="3" t="s">
        <v>509</v>
      </c>
    </row>
    <row r="28" spans="1:11" ht="15.75" customHeight="1">
      <c r="A28" s="3" t="s">
        <v>510</v>
      </c>
    </row>
    <row r="29" spans="1:11" ht="15.75" customHeight="1">
      <c r="A29" s="3" t="s">
        <v>511</v>
      </c>
    </row>
  </sheetData>
  <hyperlinks>
    <hyperlink ref="A4" r:id="rId1" xr:uid="{00000000-0004-0000-0C00-000000000000}"/>
    <hyperlink ref="A9" r:id="rId2" xr:uid="{00000000-0004-0000-0C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Readme</vt:lpstr>
      <vt:lpstr>Master - all intensity values</vt:lpstr>
      <vt:lpstr>Onshoreoffshore wind refs and c</vt:lpstr>
      <vt:lpstr>Solar refs and calcs</vt:lpstr>
      <vt:lpstr>Fossil fuels refs and calcs</vt:lpstr>
      <vt:lpstr>Nuclear refs and calcs</vt:lpstr>
      <vt:lpstr>Hydro refs and calcs</vt:lpstr>
      <vt:lpstr>Geothermal refs and calcs</vt:lpstr>
      <vt:lpstr>Concrete assumptions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2022-06-30T21:59:04Z</dcterms:created>
  <dcterms:modified xsi:type="dcterms:W3CDTF">2022-11-03T21:45:17Z</dcterms:modified>
</cp:coreProperties>
</file>