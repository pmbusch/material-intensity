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G:\My Drive\Pablo\Programming\R\R Stanford\material-intensity\Inputs\"/>
    </mc:Choice>
  </mc:AlternateContent>
  <xr:revisionPtr revIDLastSave="0" documentId="13_ncr:1_{7AF7AC1E-1BF9-4539-B3A8-E871C2045FB5}" xr6:coauthVersionLast="47" xr6:coauthVersionMax="47" xr10:uidLastSave="{00000000-0000-0000-0000-000000000000}"/>
  <bookViews>
    <workbookView xWindow="-98" yWindow="-98" windowWidth="28996" windowHeight="15675" activeTab="2" xr2:uid="{9EA91017-4F02-4C66-A94A-4F8FF6C2F750}"/>
  </bookViews>
  <sheets>
    <sheet name="Intensity_old" sheetId="1" r:id="rId1"/>
    <sheet name="Stock_Bounds" sheetId="5" r:id="rId2"/>
    <sheet name="Parameters" sheetId="2" r:id="rId3"/>
    <sheet name="Lifetimes" sheetId="3" r:id="rId4"/>
    <sheet name="Dimensions" sheetId="4" r:id="rId5"/>
    <sheet name="References" sheetId="6" r:id="rId6"/>
  </sheets>
  <definedNames>
    <definedName name="_xlnm._FilterDatabase" localSheetId="1" hidden="1">Stock_Bounds!$A$1:$E$65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 i="1" l="1"/>
  <c r="E8" i="2"/>
  <c r="D8" i="2"/>
  <c r="C8" i="2"/>
  <c r="E7" i="2"/>
  <c r="D7" i="2"/>
  <c r="C7" i="2"/>
  <c r="K3" i="1"/>
  <c r="L3" i="1"/>
  <c r="L4" i="1"/>
  <c r="K6" i="1"/>
  <c r="L6" i="1"/>
  <c r="K7" i="1"/>
  <c r="L7" i="1"/>
  <c r="K8" i="1"/>
  <c r="L8" i="1"/>
  <c r="K9" i="1"/>
  <c r="L9" i="1"/>
  <c r="K10" i="1"/>
  <c r="L10" i="1"/>
  <c r="J4" i="1"/>
  <c r="J5" i="1"/>
  <c r="J7" i="1"/>
  <c r="J8" i="1"/>
  <c r="J9" i="1"/>
  <c r="J2" i="1"/>
  <c r="G16" i="1"/>
  <c r="L16" i="1" s="1"/>
  <c r="G15" i="1"/>
  <c r="L15" i="1" s="1"/>
  <c r="G14" i="1"/>
  <c r="K14" i="1" s="1"/>
  <c r="G4" i="1"/>
  <c r="K4" i="1" s="1"/>
  <c r="G5" i="1"/>
  <c r="K5" i="1" s="1"/>
  <c r="G7" i="1"/>
  <c r="G8" i="1"/>
  <c r="G9" i="1"/>
  <c r="G11" i="1"/>
  <c r="J11" i="1" s="1"/>
  <c r="G12" i="1"/>
  <c r="K12" i="1" s="1"/>
  <c r="G13" i="1"/>
  <c r="J13" i="1" s="1"/>
  <c r="G2" i="1"/>
  <c r="K2" i="1" s="1"/>
  <c r="L13" i="1" l="1"/>
  <c r="K13" i="1"/>
  <c r="L12" i="1"/>
  <c r="J14" i="1"/>
  <c r="J12" i="1"/>
  <c r="L11" i="1"/>
  <c r="K11" i="1"/>
  <c r="L2" i="1"/>
  <c r="K15" i="1"/>
  <c r="J16" i="1"/>
  <c r="J15" i="1"/>
  <c r="L5" i="1"/>
  <c r="K16" i="1"/>
  <c r="L14" i="1"/>
</calcChain>
</file>

<file path=xl/sharedStrings.xml><?xml version="1.0" encoding="utf-8"?>
<sst xmlns="http://schemas.openxmlformats.org/spreadsheetml/2006/main" count="410" uniqueCount="141">
  <si>
    <t>East Asia, Europe &amp; Russia, North America, Latin America, Sub-Saharan Africa, Middle East &amp; North Africa, South Asia, Oceania</t>
  </si>
  <si>
    <t>Material groups:</t>
  </si>
  <si>
    <t>Regions:</t>
  </si>
  <si>
    <t>Biomass, Fossil Fuels, Metal Ores, Non-metalic minerals</t>
  </si>
  <si>
    <t>Coal, Natural Gas, Petroleum, Oil shale and tar sands, Refined fossil fuels mainly for fuel e.g. LPG gasoline diesel, Other products mainly from fossil fuels e.g. plastics, Crops, Crop Residues, Grazed biomass and fodder crops, Wild catch and harvest, Wood, Non-wild animal products, Products mainly from biomass nec., Ferrous ores, Non-ferrous ores, Products mainly from metals nec., Non-metallic minerals - construction dominant, Non-metallic minerals - industrial or agricultural dominant, Products mainly from non-metallic minerals, Mixed / complex products nec., Waste for final treatment and disposal</t>
  </si>
  <si>
    <t>Parameter</t>
  </si>
  <si>
    <t>M/G</t>
  </si>
  <si>
    <t>Detail</t>
  </si>
  <si>
    <t>Biomass</t>
  </si>
  <si>
    <t>Crops</t>
  </si>
  <si>
    <t>Crops residues</t>
  </si>
  <si>
    <t>Grazed biomass and fodder crops</t>
  </si>
  <si>
    <t>Wood</t>
  </si>
  <si>
    <t>Coal</t>
  </si>
  <si>
    <t>Natural Gas</t>
  </si>
  <si>
    <t>Petroleum</t>
  </si>
  <si>
    <t>Fossil Fuels</t>
  </si>
  <si>
    <t>Other fossil fuels</t>
  </si>
  <si>
    <t>Other biomass</t>
  </si>
  <si>
    <t>Metal ores</t>
  </si>
  <si>
    <t>Buildings</t>
  </si>
  <si>
    <t>Civil infrastructure</t>
  </si>
  <si>
    <t>Non-metalic minerals</t>
  </si>
  <si>
    <t>S/G</t>
  </si>
  <si>
    <t>Machinery</t>
  </si>
  <si>
    <t>Short-lived products</t>
  </si>
  <si>
    <t>kg/USD</t>
  </si>
  <si>
    <t>Fixed at 2024</t>
  </si>
  <si>
    <t>Min SSP</t>
  </si>
  <si>
    <t>Max SSP</t>
  </si>
  <si>
    <t>Target year intensity</t>
  </si>
  <si>
    <t>min</t>
  </si>
  <si>
    <t>max</t>
  </si>
  <si>
    <t>type</t>
  </si>
  <si>
    <t>notes</t>
  </si>
  <si>
    <t>TARGET_YEAR</t>
  </si>
  <si>
    <t>integer</t>
  </si>
  <si>
    <t>RECYC_CONVERGENCE_YR</t>
  </si>
  <si>
    <t>double</t>
  </si>
  <si>
    <t>MAX_SECONDARY_ROADS</t>
  </si>
  <si>
    <t>Max share of road demand met by secondary material</t>
  </si>
  <si>
    <t>GRADE_ORE_FE</t>
  </si>
  <si>
    <t>GRADE_ORE_NONFE</t>
  </si>
  <si>
    <t>Minerals: maximum downcycling share</t>
  </si>
  <si>
    <t>parameter_name</t>
  </si>
  <si>
    <t>Recycling goal convergence year</t>
  </si>
  <si>
    <t>RECYCLING_RATE_FE</t>
  </si>
  <si>
    <t>RECYCLING_RATE_NONFE</t>
  </si>
  <si>
    <t>Fe metals, recycling rate</t>
  </si>
  <si>
    <t>Non Fe metals, recycling rate</t>
  </si>
  <si>
    <t>DOWNCYCLING</t>
  </si>
  <si>
    <t>Fe metal recycling rate</t>
  </si>
  <si>
    <t>Non-Fe metal recycling rate</t>
  </si>
  <si>
    <t>Downcycling rate</t>
  </si>
  <si>
    <t>Conversion factor ore Fe to metal Fe</t>
  </si>
  <si>
    <t>Conversion factor ore non-Fe to metal non-Fe</t>
  </si>
  <si>
    <t>Max share of secondary minerals for roads</t>
  </si>
  <si>
    <t>Convergence year range (recycling / downcycling rates)</t>
  </si>
  <si>
    <t>civil_infrastructure</t>
  </si>
  <si>
    <t>sub_use</t>
  </si>
  <si>
    <t>residential</t>
  </si>
  <si>
    <t>buildings</t>
  </si>
  <si>
    <t>non_residential</t>
  </si>
  <si>
    <t>roads</t>
  </si>
  <si>
    <t>civil_engineering</t>
  </si>
  <si>
    <t>machinery_group</t>
  </si>
  <si>
    <t>machinery</t>
  </si>
  <si>
    <t>vehicles_group</t>
  </si>
  <si>
    <t>durables</t>
  </si>
  <si>
    <t>short_lived</t>
  </si>
  <si>
    <t>packaging</t>
  </si>
  <si>
    <t>super_category</t>
  </si>
  <si>
    <t>mean_life_min</t>
  </si>
  <si>
    <t>mean_life_max</t>
  </si>
  <si>
    <t>k_min</t>
  </si>
  <si>
    <t>k_max</t>
  </si>
  <si>
    <t>mean_life</t>
  </si>
  <si>
    <t>weibull_k</t>
  </si>
  <si>
    <t>Min Region</t>
  </si>
  <si>
    <t>Max Region</t>
  </si>
  <si>
    <t>Units</t>
  </si>
  <si>
    <t>Material detail:</t>
  </si>
  <si>
    <t>Notes</t>
  </si>
  <si>
    <t>Follows crops trajectory</t>
  </si>
  <si>
    <t>Convergence year for mineral intensity</t>
  </si>
  <si>
    <t>Category</t>
  </si>
  <si>
    <t>2024_value</t>
  </si>
  <si>
    <t>central_value</t>
  </si>
  <si>
    <t>log_2040_proj</t>
  </si>
  <si>
    <t>spread</t>
  </si>
  <si>
    <t>spread_rel</t>
  </si>
  <si>
    <t>Material</t>
  </si>
  <si>
    <t>End_use</t>
  </si>
  <si>
    <t>Region</t>
  </si>
  <si>
    <t>North America</t>
  </si>
  <si>
    <t>Europe &amp; Russia</t>
  </si>
  <si>
    <t>Oceania</t>
  </si>
  <si>
    <t>East Asia</t>
  </si>
  <si>
    <t>Latin America</t>
  </si>
  <si>
    <t>Middle East &amp; North Africa</t>
  </si>
  <si>
    <t>South Asia</t>
  </si>
  <si>
    <t>Sub-Saharan Africa</t>
  </si>
  <si>
    <t>Source</t>
  </si>
  <si>
    <t>Key</t>
  </si>
  <si>
    <t>Full citation</t>
  </si>
  <si>
    <r>
      <t xml:space="preserve">Wiedenhofer, D., Streeck, J., Wieland, H., Grammer, B., Baumgart, A., Plank, B., ... &amp; Krausmann, F. (2024). From extraction to end-uses and waste management: Modeling economy-wide material cycles and stock dynamics around the world. </t>
    </r>
    <r>
      <rPr>
        <i/>
        <sz val="5"/>
        <color rgb="FF222222"/>
        <rFont val="Arial"/>
        <family val="2"/>
      </rPr>
      <t>Journal of Industrial Ecology</t>
    </r>
    <r>
      <rPr>
        <sz val="5"/>
        <color rgb="FF222222"/>
        <rFont val="Arial"/>
        <family val="2"/>
      </rPr>
      <t xml:space="preserve">, </t>
    </r>
    <r>
      <rPr>
        <i/>
        <sz val="5"/>
        <color rgb="FF222222"/>
        <rFont val="Arial"/>
        <family val="2"/>
      </rPr>
      <t>28</t>
    </r>
    <r>
      <rPr>
        <sz val="5"/>
        <color rgb="FF222222"/>
        <rFont val="Arial"/>
        <family val="2"/>
      </rPr>
      <t>(6), 1464-1480.</t>
    </r>
  </si>
  <si>
    <t>MISO2</t>
  </si>
  <si>
    <t>MISO2, Table SI-21</t>
  </si>
  <si>
    <t>Max share of secondary minerals for buildings and civil</t>
  </si>
  <si>
    <t>MAX_SECONDARY_BUILD_CIVIL</t>
  </si>
  <si>
    <t xml:space="preserve">Tam 2018. </t>
  </si>
  <si>
    <t>Concrete share of sector mineral demand: buildings</t>
  </si>
  <si>
    <t>Concrete share of sector mineral demand: civil</t>
  </si>
  <si>
    <t>Coarse aggregate share of concrete raw materials (extraction basis)</t>
  </si>
  <si>
    <t>Granular share of road demand</t>
  </si>
  <si>
    <t>SHARE_CONCRETE_BUILDINGS</t>
  </si>
  <si>
    <t>SHARE_CONCRETE_CIVIL</t>
  </si>
  <si>
    <t>https://doi.org/10.1021/acs.est.5c11079. Figure 2</t>
  </si>
  <si>
    <t>Aggregate share of concrete x Coarse fraction of aggregate
https://www.nature.com/articles/s43017-020-0093-3 (7.2 kg of concrete constituents are used for every kg of cement, and that 75% of that is aggregates)
Kosmatka, Kerkhoff &amp; Panarese, Design and Control of Concrete Mixtures, 14th ed., Portland Cement Association, ISBN 0893122173: Min and max from the four PCA mixes (by volume): mix 1 = 31/59 = 0.53, mix 2 = 51/75 = 0.68, mix 3 = 31/61 = 0.51, mix 4 = 51/76 = 0.67.
Central from the PCA worked example, using dry masses: coarse = 109.3 / 1.02 = 107.2 kg, fine = 67.2 / 1.06 = 63.4 kg, so coarse fraction = 107.2 / 170.6 = 0.63.</t>
  </si>
  <si>
    <t>https://pubs.acs.org/esthag/article/56/24/18050/871521/Material-Stock-and-Embodied-Greenhouse-Gas. Figure 4 and SI</t>
  </si>
  <si>
    <t>Assumption</t>
  </si>
  <si>
    <t>SHARE_AGG_CONCRETE</t>
  </si>
  <si>
    <t>SHARE_GRANULAR_ROAD</t>
  </si>
  <si>
    <t>TOTAL 2024</t>
  </si>
  <si>
    <t>Conversion factor ore to copper</t>
  </si>
  <si>
    <t>Conversion factor ore to aluminum</t>
  </si>
  <si>
    <t>Conversion factor ore other non-Fe to metal other non-Fe</t>
  </si>
  <si>
    <t>RECYCLING_RATE_AL</t>
  </si>
  <si>
    <t>RECYCLING_RATE_OTHERNONFE</t>
  </si>
  <si>
    <t>Lead is high, zinc low</t>
  </si>
  <si>
    <t>Copper metal recycling rate</t>
  </si>
  <si>
    <t>Aluminum metal recycling rate</t>
  </si>
  <si>
    <t>Other Non-Fe metal recycling rate</t>
  </si>
  <si>
    <t>RECYCLING_RATE_CU</t>
  </si>
  <si>
    <t>~45 Mt (Zn, Pb, Ni, Mn, ...) / 1.6 Gt. Bounds based on -1% and 3% growth scenario and cumulative curve.</t>
  </si>
  <si>
    <t>~22 Mt mined Cu / 2.98 Gt ore. Bounds based on -1% and 3% growth scenario and cumulative curve. Central assumes 21% decline.</t>
  </si>
  <si>
    <t>~70 Mt primary Al / 0.43 Gt bauxite. Bounds based on -1% and 3% growth scenario and cumulative curve. Central assumes 14% decline</t>
  </si>
  <si>
    <t>GRADE_ORE_CU</t>
  </si>
  <si>
    <t>GRADE_ORE_AL</t>
  </si>
  <si>
    <t>GRADE_ORE_OTHERNONFE</t>
  </si>
  <si>
    <t>Bounds based on -1% and 3% growth scenario and cumulative curve. Central assumes 12% decline. Upper bound assumes no 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</si>
</sst>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sz val="5"/>
      <color rgb="FF222222"/>
      <name val="Arial"/>
      <family val="2"/>
    </font>
    <font>
      <i/>
      <sz val="5"/>
      <color rgb="FF222222"/>
      <name val="Arial"/>
      <family val="2"/>
    </font>
  </fonts>
  <fills count="3">
    <fill>
      <patternFill patternType="none"/>
    </fill>
    <fill>
      <patternFill patternType="gray125"/>
    </fill>
    <fill>
      <patternFill patternType="solid">
        <fgColor theme="9" tint="0.79998168889431442"/>
        <bgColor indexed="64"/>
      </patternFill>
    </fill>
  </fills>
  <borders count="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2" fillId="0" borderId="0" xfId="0" applyFont="1"/>
    <xf numFmtId="9" fontId="0" fillId="0" borderId="0" xfId="0" applyNumberFormat="1"/>
    <xf numFmtId="0" fontId="0" fillId="0" borderId="1" xfId="0" applyBorder="1"/>
    <xf numFmtId="0" fontId="1" fillId="0" borderId="2" xfId="0" applyFont="1" applyBorder="1"/>
    <xf numFmtId="0" fontId="0" fillId="0" borderId="0" xfId="0" applyAlignment="1">
      <alignment vertical="center"/>
    </xf>
    <xf numFmtId="0" fontId="1" fillId="0" borderId="0" xfId="0" applyFont="1" applyAlignment="1">
      <alignment vertical="center"/>
    </xf>
    <xf numFmtId="0" fontId="0" fillId="0" borderId="0" xfId="0" applyAlignment="1">
      <alignment vertical="center" wrapText="1"/>
    </xf>
    <xf numFmtId="0" fontId="1" fillId="0" borderId="2" xfId="0" applyFont="1" applyBorder="1" applyAlignment="1">
      <alignment horizontal="center" vertical="center"/>
    </xf>
    <xf numFmtId="0" fontId="0" fillId="0" borderId="2" xfId="0" applyBorder="1"/>
    <xf numFmtId="0" fontId="2"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4" fontId="0" fillId="0" borderId="0" xfId="0" applyNumberFormat="1"/>
    <xf numFmtId="4" fontId="0" fillId="0" borderId="2" xfId="0" applyNumberFormat="1" applyBorder="1"/>
    <xf numFmtId="164" fontId="0" fillId="0" borderId="2" xfId="0" applyNumberFormat="1" applyBorder="1"/>
    <xf numFmtId="164" fontId="0" fillId="0" borderId="0" xfId="0" applyNumberFormat="1"/>
    <xf numFmtId="166" fontId="0" fillId="0" borderId="0" xfId="0" applyNumberFormat="1"/>
    <xf numFmtId="9" fontId="0" fillId="0" borderId="2" xfId="0" applyNumberFormat="1" applyBorder="1"/>
    <xf numFmtId="0" fontId="1" fillId="2" borderId="2" xfId="0" applyFont="1" applyFill="1" applyBorder="1"/>
    <xf numFmtId="0" fontId="1" fillId="0" borderId="0" xfId="0" applyFont="1"/>
    <xf numFmtId="165" fontId="0" fillId="0" borderId="0" xfId="0" applyNumberFormat="1"/>
    <xf numFmtId="10" fontId="0" fillId="0" borderId="0" xfId="0" applyNumberFormat="1"/>
  </cellXfs>
  <cellStyles count="1">
    <cellStyle name="Normal" xfId="0" builtinId="0"/>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pubs.acs.org/esthag/article/56/24/18050/871521/Material-Stock-and-Embodied-Greenhouse-Gas.%20Figure%204%20and%20SI" TargetMode="External"/><Relationship Id="rId2" Type="http://schemas.openxmlformats.org/officeDocument/2006/relationships/hyperlink" Target="https://www.nature.com/articles/s43017-020-0093-3%20(7.2%20kg%20of%20concrete%20constituents%20are%20used%20for%20every%20kg%20of%20cement,%20and%20that%2075%25%20of%20that%20is%20aggregates)" TargetMode="External"/><Relationship Id="rId1" Type="http://schemas.openxmlformats.org/officeDocument/2006/relationships/hyperlink" Target="https://doi.org/10.1021/acs.est.5c11079.%20Figure%202"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0F87-BC9B-41E2-A82D-BC64FBC75A78}">
  <dimension ref="A1:P20"/>
  <sheetViews>
    <sheetView zoomScale="115" zoomScaleNormal="115" workbookViewId="0">
      <selection activeCell="C17" sqref="C17"/>
    </sheetView>
  </sheetViews>
  <sheetFormatPr defaultRowHeight="14.25" x14ac:dyDescent="0.45"/>
  <cols>
    <col min="1" max="1" width="18.86328125" bestFit="1" customWidth="1"/>
    <col min="2" max="2" width="33.86328125" bestFit="1" customWidth="1"/>
    <col min="3" max="3" width="29.86328125" customWidth="1"/>
    <col min="4" max="5" width="22.19921875" customWidth="1"/>
    <col min="6" max="6" width="12.19921875" bestFit="1" customWidth="1"/>
    <col min="7" max="7" width="12.1328125" bestFit="1" customWidth="1"/>
    <col min="10" max="10" width="8.86328125" customWidth="1"/>
    <col min="13" max="13" width="10" bestFit="1" customWidth="1"/>
    <col min="14" max="14" width="10.19921875" bestFit="1" customWidth="1"/>
    <col min="15" max="15" width="7.53125" bestFit="1" customWidth="1"/>
  </cols>
  <sheetData>
    <row r="1" spans="1:16" x14ac:dyDescent="0.45">
      <c r="A1" s="4" t="s">
        <v>5</v>
      </c>
      <c r="B1" s="4" t="s">
        <v>85</v>
      </c>
      <c r="C1" s="8" t="s">
        <v>7</v>
      </c>
      <c r="D1" s="4" t="s">
        <v>82</v>
      </c>
      <c r="E1" s="4" t="s">
        <v>86</v>
      </c>
      <c r="F1" s="4" t="s">
        <v>88</v>
      </c>
      <c r="G1" s="21" t="s">
        <v>87</v>
      </c>
      <c r="H1" s="4" t="s">
        <v>80</v>
      </c>
      <c r="I1" s="21" t="s">
        <v>89</v>
      </c>
      <c r="J1" s="4" t="s">
        <v>90</v>
      </c>
      <c r="K1" s="4" t="s">
        <v>31</v>
      </c>
      <c r="L1" s="4" t="s">
        <v>32</v>
      </c>
      <c r="M1" s="4" t="s">
        <v>78</v>
      </c>
      <c r="N1" s="4" t="s">
        <v>79</v>
      </c>
      <c r="O1" s="4" t="s">
        <v>28</v>
      </c>
      <c r="P1" s="4" t="s">
        <v>29</v>
      </c>
    </row>
    <row r="2" spans="1:16" x14ac:dyDescent="0.45">
      <c r="A2" t="s">
        <v>6</v>
      </c>
      <c r="B2" t="s">
        <v>8</v>
      </c>
      <c r="C2" t="s">
        <v>9</v>
      </c>
      <c r="E2" s="15">
        <v>0.10436042955326</v>
      </c>
      <c r="F2" s="15">
        <v>8.2768104545115503E-2</v>
      </c>
      <c r="G2" s="15">
        <f>+ROUND(F2,2)</f>
        <v>0.08</v>
      </c>
      <c r="H2" t="s">
        <v>26</v>
      </c>
      <c r="I2">
        <v>0.04</v>
      </c>
      <c r="J2" s="2">
        <f>+I2/G2</f>
        <v>0.5</v>
      </c>
      <c r="K2" s="3">
        <f>+G2-I2</f>
        <v>0.04</v>
      </c>
      <c r="L2" s="3">
        <f>+G2+I2</f>
        <v>0.12</v>
      </c>
      <c r="M2" s="3">
        <v>0.03</v>
      </c>
      <c r="N2">
        <v>0.43</v>
      </c>
      <c r="O2" s="3">
        <v>0.01</v>
      </c>
      <c r="P2" s="12">
        <v>0.3</v>
      </c>
    </row>
    <row r="3" spans="1:16" x14ac:dyDescent="0.45">
      <c r="A3" t="s">
        <v>6</v>
      </c>
      <c r="B3" t="s">
        <v>8</v>
      </c>
      <c r="C3" t="s">
        <v>10</v>
      </c>
      <c r="D3" s="1" t="s">
        <v>83</v>
      </c>
      <c r="E3" s="15">
        <v>8.6516437941892996E-2</v>
      </c>
      <c r="H3" t="s">
        <v>26</v>
      </c>
      <c r="J3" s="2"/>
      <c r="K3" s="3">
        <f t="shared" ref="K3:K16" si="0">+G3-I3</f>
        <v>0</v>
      </c>
      <c r="L3" s="3">
        <f t="shared" ref="L3:L16" si="1">+G3+I3</f>
        <v>0</v>
      </c>
      <c r="M3" s="3"/>
      <c r="O3" s="3"/>
      <c r="P3" s="13"/>
    </row>
    <row r="4" spans="1:16" x14ac:dyDescent="0.45">
      <c r="A4" t="s">
        <v>6</v>
      </c>
      <c r="B4" t="s">
        <v>8</v>
      </c>
      <c r="C4" t="s">
        <v>11</v>
      </c>
      <c r="E4" s="15">
        <v>6.6745400897722101E-2</v>
      </c>
      <c r="F4" s="15">
        <v>4.7656818816112501E-2</v>
      </c>
      <c r="G4" s="15">
        <f t="shared" ref="G4:G13" si="2">+ROUND(F4,2)</f>
        <v>0.05</v>
      </c>
      <c r="H4" t="s">
        <v>26</v>
      </c>
      <c r="I4">
        <v>2.5000000000000001E-2</v>
      </c>
      <c r="J4" s="2">
        <f t="shared" ref="J4:J16" si="3">+I4/G4</f>
        <v>0.5</v>
      </c>
      <c r="K4" s="3">
        <f t="shared" si="0"/>
        <v>2.5000000000000001E-2</v>
      </c>
      <c r="L4" s="3">
        <f t="shared" si="1"/>
        <v>7.5000000000000011E-2</v>
      </c>
      <c r="M4" s="3">
        <v>0.03</v>
      </c>
      <c r="N4">
        <v>0.53</v>
      </c>
      <c r="O4" s="3">
        <v>0.01</v>
      </c>
      <c r="P4" s="13">
        <v>0.4</v>
      </c>
    </row>
    <row r="5" spans="1:16" x14ac:dyDescent="0.45">
      <c r="A5" t="s">
        <v>6</v>
      </c>
      <c r="B5" t="s">
        <v>8</v>
      </c>
      <c r="C5" t="s">
        <v>12</v>
      </c>
      <c r="E5" s="15">
        <v>2.5989179819480599E-2</v>
      </c>
      <c r="F5" s="15">
        <v>1.8430356085632899E-2</v>
      </c>
      <c r="G5" s="15">
        <f t="shared" si="2"/>
        <v>0.02</v>
      </c>
      <c r="H5" t="s">
        <v>26</v>
      </c>
      <c r="I5">
        <v>0.01</v>
      </c>
      <c r="J5" s="2">
        <f t="shared" si="3"/>
        <v>0.5</v>
      </c>
      <c r="K5" s="3">
        <f t="shared" si="0"/>
        <v>0.01</v>
      </c>
      <c r="L5" s="3">
        <f t="shared" si="1"/>
        <v>0.03</v>
      </c>
      <c r="M5" s="3">
        <v>0.01</v>
      </c>
      <c r="N5">
        <v>0.22</v>
      </c>
      <c r="O5" s="3">
        <v>0.01</v>
      </c>
      <c r="P5" s="13">
        <v>0.16</v>
      </c>
    </row>
    <row r="6" spans="1:16" x14ac:dyDescent="0.45">
      <c r="A6" s="9" t="s">
        <v>6</v>
      </c>
      <c r="B6" s="9" t="s">
        <v>8</v>
      </c>
      <c r="C6" s="9" t="s">
        <v>18</v>
      </c>
      <c r="D6" s="10" t="s">
        <v>27</v>
      </c>
      <c r="E6" s="17">
        <v>7.2611580798266997E-4</v>
      </c>
      <c r="F6" s="9"/>
      <c r="G6" s="9"/>
      <c r="H6" s="9" t="s">
        <v>26</v>
      </c>
      <c r="I6" s="9"/>
      <c r="J6" s="20"/>
      <c r="K6" s="11">
        <f t="shared" si="0"/>
        <v>0</v>
      </c>
      <c r="L6" s="11">
        <f t="shared" si="1"/>
        <v>0</v>
      </c>
      <c r="M6" s="11"/>
      <c r="N6" s="9"/>
      <c r="O6" s="11"/>
      <c r="P6" s="14"/>
    </row>
    <row r="7" spans="1:16" x14ac:dyDescent="0.45">
      <c r="A7" t="s">
        <v>6</v>
      </c>
      <c r="B7" t="s">
        <v>16</v>
      </c>
      <c r="C7" t="s">
        <v>13</v>
      </c>
      <c r="E7" s="15">
        <v>8.2960425230872298E-2</v>
      </c>
      <c r="F7" s="15">
        <v>5.7413250257057603E-2</v>
      </c>
      <c r="G7" s="15">
        <f t="shared" si="2"/>
        <v>0.06</v>
      </c>
      <c r="H7" t="s">
        <v>26</v>
      </c>
      <c r="I7">
        <v>4.4999999999999998E-2</v>
      </c>
      <c r="J7" s="2">
        <f t="shared" si="3"/>
        <v>0.75</v>
      </c>
      <c r="K7" s="3">
        <f t="shared" si="0"/>
        <v>1.4999999999999999E-2</v>
      </c>
      <c r="L7" s="3">
        <f t="shared" si="1"/>
        <v>0.105</v>
      </c>
      <c r="M7" s="3">
        <v>0.01</v>
      </c>
      <c r="N7">
        <v>0.26</v>
      </c>
      <c r="O7" s="3">
        <v>0.01</v>
      </c>
      <c r="P7" s="13">
        <v>0.17</v>
      </c>
    </row>
    <row r="8" spans="1:16" x14ac:dyDescent="0.45">
      <c r="A8" t="s">
        <v>6</v>
      </c>
      <c r="B8" t="s">
        <v>16</v>
      </c>
      <c r="C8" t="s">
        <v>14</v>
      </c>
      <c r="E8" s="15">
        <v>2.97502102581278E-2</v>
      </c>
      <c r="F8" s="15">
        <v>2.60756521685672E-2</v>
      </c>
      <c r="G8" s="15">
        <f t="shared" si="2"/>
        <v>0.03</v>
      </c>
      <c r="H8" t="s">
        <v>26</v>
      </c>
      <c r="I8">
        <v>0.02</v>
      </c>
      <c r="J8" s="2">
        <f t="shared" si="3"/>
        <v>0.66666666666666674</v>
      </c>
      <c r="K8" s="3">
        <f t="shared" si="0"/>
        <v>9.9999999999999985E-3</v>
      </c>
      <c r="L8" s="3">
        <f t="shared" si="1"/>
        <v>0.05</v>
      </c>
      <c r="M8" s="3">
        <v>0.01</v>
      </c>
      <c r="N8">
        <v>0.13</v>
      </c>
      <c r="O8" s="3">
        <v>0.01</v>
      </c>
      <c r="P8" s="13">
        <v>0.13</v>
      </c>
    </row>
    <row r="9" spans="1:16" x14ac:dyDescent="0.45">
      <c r="A9" t="s">
        <v>6</v>
      </c>
      <c r="B9" t="s">
        <v>16</v>
      </c>
      <c r="C9" t="s">
        <v>15</v>
      </c>
      <c r="E9" s="15">
        <v>4.8079477917189299E-2</v>
      </c>
      <c r="F9" s="15">
        <v>3.4909365830619599E-2</v>
      </c>
      <c r="G9" s="15">
        <f t="shared" si="2"/>
        <v>0.03</v>
      </c>
      <c r="H9" t="s">
        <v>26</v>
      </c>
      <c r="I9">
        <v>2.5000000000000001E-2</v>
      </c>
      <c r="J9" s="2">
        <f t="shared" si="3"/>
        <v>0.83333333333333337</v>
      </c>
      <c r="K9" s="3">
        <f t="shared" si="0"/>
        <v>4.9999999999999975E-3</v>
      </c>
      <c r="L9" s="3">
        <f t="shared" si="1"/>
        <v>5.5E-2</v>
      </c>
      <c r="M9" s="3">
        <v>0.01</v>
      </c>
      <c r="N9">
        <v>0.17</v>
      </c>
      <c r="O9" s="3">
        <v>0</v>
      </c>
      <c r="P9" s="13">
        <v>0.11</v>
      </c>
    </row>
    <row r="10" spans="1:16" x14ac:dyDescent="0.45">
      <c r="A10" s="9" t="s">
        <v>6</v>
      </c>
      <c r="B10" s="9" t="s">
        <v>16</v>
      </c>
      <c r="C10" s="9" t="s">
        <v>17</v>
      </c>
      <c r="D10" s="10" t="s">
        <v>27</v>
      </c>
      <c r="E10" s="16">
        <v>1.0009153459309E-2</v>
      </c>
      <c r="F10" s="9"/>
      <c r="G10" s="9"/>
      <c r="H10" s="9" t="s">
        <v>26</v>
      </c>
      <c r="I10" s="9"/>
      <c r="J10" s="20"/>
      <c r="K10" s="11">
        <f t="shared" si="0"/>
        <v>0</v>
      </c>
      <c r="L10" s="11">
        <f t="shared" si="1"/>
        <v>0</v>
      </c>
      <c r="M10" s="11"/>
      <c r="N10" s="9"/>
      <c r="O10" s="11"/>
      <c r="P10" s="14"/>
    </row>
    <row r="11" spans="1:16" x14ac:dyDescent="0.45">
      <c r="A11" t="s">
        <v>23</v>
      </c>
      <c r="B11" t="s">
        <v>19</v>
      </c>
      <c r="C11" t="s">
        <v>20</v>
      </c>
      <c r="E11" s="15">
        <v>0.10832972961342199</v>
      </c>
      <c r="F11" s="15">
        <v>9.1078555722073601E-2</v>
      </c>
      <c r="G11" s="15">
        <f t="shared" si="2"/>
        <v>0.09</v>
      </c>
      <c r="H11" t="s">
        <v>26</v>
      </c>
      <c r="I11">
        <v>0.03</v>
      </c>
      <c r="J11" s="2">
        <f t="shared" si="3"/>
        <v>0.33333333333333331</v>
      </c>
      <c r="K11" s="3">
        <f t="shared" si="0"/>
        <v>0.06</v>
      </c>
      <c r="L11" s="3">
        <f t="shared" si="1"/>
        <v>0.12</v>
      </c>
      <c r="M11" s="3">
        <v>0.06</v>
      </c>
      <c r="N11">
        <v>0.2</v>
      </c>
      <c r="O11" s="3">
        <v>0.08</v>
      </c>
      <c r="P11" s="13">
        <v>0.19</v>
      </c>
    </row>
    <row r="12" spans="1:16" x14ac:dyDescent="0.45">
      <c r="A12" t="s">
        <v>23</v>
      </c>
      <c r="B12" t="s">
        <v>19</v>
      </c>
      <c r="C12" t="s">
        <v>21</v>
      </c>
      <c r="E12" s="15">
        <v>0.188196211955655</v>
      </c>
      <c r="F12" s="15">
        <v>0.21281516661543401</v>
      </c>
      <c r="G12" s="15">
        <f t="shared" si="2"/>
        <v>0.21</v>
      </c>
      <c r="H12" t="s">
        <v>26</v>
      </c>
      <c r="I12">
        <v>4.4999999999999998E-2</v>
      </c>
      <c r="J12" s="2">
        <f t="shared" si="3"/>
        <v>0.21428571428571427</v>
      </c>
      <c r="K12" s="3">
        <f t="shared" si="0"/>
        <v>0.16499999999999998</v>
      </c>
      <c r="L12" s="3">
        <f t="shared" si="1"/>
        <v>0.255</v>
      </c>
      <c r="M12" s="3">
        <v>0.06</v>
      </c>
      <c r="N12">
        <v>0.3</v>
      </c>
      <c r="O12" s="3">
        <v>0.05</v>
      </c>
      <c r="P12" s="13">
        <v>0.28999999999999998</v>
      </c>
    </row>
    <row r="13" spans="1:16" x14ac:dyDescent="0.45">
      <c r="A13" t="s">
        <v>23</v>
      </c>
      <c r="B13" t="s">
        <v>19</v>
      </c>
      <c r="C13" t="s">
        <v>24</v>
      </c>
      <c r="D13" s="1"/>
      <c r="E13" s="15">
        <v>0.10054677470821601</v>
      </c>
      <c r="F13" s="15">
        <v>0.102856053021201</v>
      </c>
      <c r="G13" s="15">
        <f t="shared" si="2"/>
        <v>0.1</v>
      </c>
      <c r="H13" t="s">
        <v>26</v>
      </c>
      <c r="I13">
        <v>0.03</v>
      </c>
      <c r="J13" s="2">
        <f t="shared" si="3"/>
        <v>0.3</v>
      </c>
      <c r="K13" s="3">
        <f t="shared" si="0"/>
        <v>7.0000000000000007E-2</v>
      </c>
      <c r="L13" s="3">
        <f t="shared" si="1"/>
        <v>0.13</v>
      </c>
      <c r="M13" s="3">
        <v>0.04</v>
      </c>
      <c r="N13">
        <v>0.17</v>
      </c>
      <c r="P13" s="13"/>
    </row>
    <row r="14" spans="1:16" x14ac:dyDescent="0.45">
      <c r="A14" s="9" t="s">
        <v>23</v>
      </c>
      <c r="B14" s="9" t="s">
        <v>19</v>
      </c>
      <c r="C14" s="9" t="s">
        <v>25</v>
      </c>
      <c r="D14" s="10"/>
      <c r="E14" s="16">
        <v>1.0748251843592601E-2</v>
      </c>
      <c r="F14" s="16">
        <v>1.10000347286276E-2</v>
      </c>
      <c r="G14" s="17">
        <f>+ROUND(F14,3)</f>
        <v>1.0999999999999999E-2</v>
      </c>
      <c r="H14" s="9" t="s">
        <v>26</v>
      </c>
      <c r="I14" s="9">
        <v>4.0000000000000001E-3</v>
      </c>
      <c r="J14" s="20">
        <f t="shared" si="3"/>
        <v>0.36363636363636365</v>
      </c>
      <c r="K14" s="11">
        <f t="shared" si="0"/>
        <v>6.9999999999999993E-3</v>
      </c>
      <c r="L14" s="11">
        <f t="shared" si="1"/>
        <v>1.4999999999999999E-2</v>
      </c>
      <c r="M14" s="11">
        <v>4.0000000000000001E-3</v>
      </c>
      <c r="N14" s="9">
        <v>1.7999999999999999E-2</v>
      </c>
      <c r="O14" s="11"/>
      <c r="P14" s="14"/>
    </row>
    <row r="15" spans="1:16" x14ac:dyDescent="0.45">
      <c r="A15" t="s">
        <v>23</v>
      </c>
      <c r="B15" t="s">
        <v>22</v>
      </c>
      <c r="C15" t="s">
        <v>20</v>
      </c>
      <c r="E15" s="15">
        <v>7.0869704797967499</v>
      </c>
      <c r="F15" s="15">
        <v>9.0227267916466403</v>
      </c>
      <c r="G15" s="19">
        <f>+ROUND(F15,1)</f>
        <v>9</v>
      </c>
      <c r="H15" t="s">
        <v>26</v>
      </c>
      <c r="I15">
        <v>4</v>
      </c>
      <c r="J15" s="2">
        <f t="shared" si="3"/>
        <v>0.44444444444444442</v>
      </c>
      <c r="K15" s="3">
        <f t="shared" si="0"/>
        <v>5</v>
      </c>
      <c r="L15" s="3">
        <f t="shared" si="1"/>
        <v>13</v>
      </c>
      <c r="M15" s="3">
        <v>1.1000000000000001</v>
      </c>
      <c r="N15">
        <v>13.9</v>
      </c>
      <c r="O15" s="3">
        <v>0.85</v>
      </c>
      <c r="P15" s="13">
        <v>15.5</v>
      </c>
    </row>
    <row r="16" spans="1:16" x14ac:dyDescent="0.45">
      <c r="A16" t="s">
        <v>23</v>
      </c>
      <c r="B16" t="s">
        <v>22</v>
      </c>
      <c r="C16" t="s">
        <v>21</v>
      </c>
      <c r="E16" s="15">
        <v>6.8153277190984101</v>
      </c>
      <c r="F16" s="15">
        <v>6.8500227467670101</v>
      </c>
      <c r="G16" s="19">
        <f>+ROUND(F16,1)</f>
        <v>6.9</v>
      </c>
      <c r="H16" t="s">
        <v>26</v>
      </c>
      <c r="I16">
        <v>3</v>
      </c>
      <c r="J16" s="2">
        <f t="shared" si="3"/>
        <v>0.43478260869565216</v>
      </c>
      <c r="K16" s="3">
        <f t="shared" si="0"/>
        <v>3.9000000000000004</v>
      </c>
      <c r="L16" s="3">
        <f t="shared" si="1"/>
        <v>9.9</v>
      </c>
      <c r="M16" s="3">
        <v>2.4</v>
      </c>
      <c r="N16">
        <v>12.2</v>
      </c>
      <c r="O16" s="3">
        <v>1.9</v>
      </c>
      <c r="P16" s="13">
        <v>12.8</v>
      </c>
    </row>
    <row r="17" spans="1:16" x14ac:dyDescent="0.45">
      <c r="A17" t="s">
        <v>23</v>
      </c>
      <c r="B17" t="s">
        <v>22</v>
      </c>
      <c r="C17" t="s">
        <v>24</v>
      </c>
      <c r="D17" s="1" t="s">
        <v>27</v>
      </c>
      <c r="E17" s="18">
        <v>1.0370738977805501E-3</v>
      </c>
      <c r="F17" s="15"/>
      <c r="G17" s="15"/>
      <c r="H17" t="s">
        <v>26</v>
      </c>
      <c r="J17" s="2"/>
      <c r="K17" s="3"/>
      <c r="M17" s="3"/>
      <c r="O17" s="3"/>
      <c r="P17" s="13"/>
    </row>
    <row r="18" spans="1:16" x14ac:dyDescent="0.45">
      <c r="A18" s="9" t="s">
        <v>23</v>
      </c>
      <c r="B18" s="9" t="s">
        <v>22</v>
      </c>
      <c r="C18" s="9" t="s">
        <v>25</v>
      </c>
      <c r="D18" s="10" t="s">
        <v>27</v>
      </c>
      <c r="E18" s="17">
        <v>1.10873144774907E-3</v>
      </c>
      <c r="F18" s="17"/>
      <c r="G18" s="17"/>
      <c r="H18" s="9" t="s">
        <v>26</v>
      </c>
      <c r="I18" s="9"/>
      <c r="J18" s="20"/>
      <c r="K18" s="11"/>
      <c r="L18" s="9"/>
      <c r="M18" s="11"/>
      <c r="N18" s="9"/>
      <c r="O18" s="11"/>
      <c r="P18" s="14"/>
    </row>
    <row r="20" spans="1:16" x14ac:dyDescent="0.45">
      <c r="D20" t="s">
        <v>123</v>
      </c>
      <c r="E20" s="19">
        <f>+SUM(E11:E18)</f>
        <v>14.312264972361575</v>
      </c>
    </row>
  </sheetData>
  <conditionalFormatting sqref="F2:G2">
    <cfRule type="containsText" dxfId="4" priority="14" operator="containsText" text="TRUE">
      <formula>NOT(ISERROR(SEARCH("TRUE",F2)))</formula>
    </cfRule>
  </conditionalFormatting>
  <conditionalFormatting sqref="F4:G5">
    <cfRule type="containsText" dxfId="3" priority="4" operator="containsText" text="TRUE">
      <formula>NOT(ISERROR(SEARCH("TRUE",F4)))</formula>
    </cfRule>
  </conditionalFormatting>
  <conditionalFormatting sqref="F7:G9">
    <cfRule type="containsText" dxfId="2" priority="3" operator="containsText" text="TRUE">
      <formula>NOT(ISERROR(SEARCH("TRUE",F7)))</formula>
    </cfRule>
  </conditionalFormatting>
  <conditionalFormatting sqref="F11:G13">
    <cfRule type="containsText" dxfId="1" priority="1" operator="containsText" text="TRUE">
      <formula>NOT(ISERROR(SEARCH("TRUE",F11)))</formula>
    </cfRule>
  </conditionalFormatting>
  <conditionalFormatting sqref="F15:G17">
    <cfRule type="containsText" dxfId="0" priority="2" operator="containsText" text="TRUE">
      <formula>NOT(ISERROR(SEARCH("TRUE",F15)))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DB15-90FC-4EB0-815A-1C6ABE374F31}">
  <dimension ref="A1:E65"/>
  <sheetViews>
    <sheetView zoomScale="130" zoomScaleNormal="130" workbookViewId="0">
      <selection activeCell="D5" sqref="D5"/>
    </sheetView>
  </sheetViews>
  <sheetFormatPr defaultRowHeight="14.25" x14ac:dyDescent="0.45"/>
  <cols>
    <col min="1" max="1" width="18.33203125" bestFit="1" customWidth="1"/>
    <col min="2" max="2" width="17.1328125" bestFit="1" customWidth="1"/>
    <col min="3" max="3" width="21.86328125" bestFit="1" customWidth="1"/>
    <col min="4" max="4" width="6.33203125" bestFit="1" customWidth="1"/>
    <col min="5" max="5" width="6.53125" bestFit="1" customWidth="1"/>
  </cols>
  <sheetData>
    <row r="1" spans="1:5" x14ac:dyDescent="0.45">
      <c r="A1" s="22" t="s">
        <v>91</v>
      </c>
      <c r="B1" s="22" t="s">
        <v>92</v>
      </c>
      <c r="C1" s="22" t="s">
        <v>93</v>
      </c>
      <c r="D1" s="22" t="s">
        <v>31</v>
      </c>
      <c r="E1" s="22" t="s">
        <v>32</v>
      </c>
    </row>
    <row r="2" spans="1:5" x14ac:dyDescent="0.45">
      <c r="A2" t="s">
        <v>19</v>
      </c>
      <c r="B2" t="s">
        <v>20</v>
      </c>
      <c r="C2" t="s">
        <v>94</v>
      </c>
      <c r="D2">
        <v>0.55000000000000004</v>
      </c>
      <c r="E2">
        <v>1.1000000000000001</v>
      </c>
    </row>
    <row r="3" spans="1:5" x14ac:dyDescent="0.45">
      <c r="A3" t="s">
        <v>19</v>
      </c>
      <c r="B3" t="s">
        <v>20</v>
      </c>
      <c r="C3" t="s">
        <v>95</v>
      </c>
      <c r="D3">
        <v>0.55000000000000004</v>
      </c>
      <c r="E3">
        <v>1.1000000000000001</v>
      </c>
    </row>
    <row r="4" spans="1:5" x14ac:dyDescent="0.45">
      <c r="A4" t="s">
        <v>19</v>
      </c>
      <c r="B4" t="s">
        <v>20</v>
      </c>
      <c r="C4" t="s">
        <v>96</v>
      </c>
      <c r="D4">
        <v>0.55000000000000004</v>
      </c>
      <c r="E4">
        <v>1.1000000000000001</v>
      </c>
    </row>
    <row r="5" spans="1:5" x14ac:dyDescent="0.45">
      <c r="A5" t="s">
        <v>19</v>
      </c>
      <c r="B5" t="s">
        <v>20</v>
      </c>
      <c r="C5" t="s">
        <v>97</v>
      </c>
      <c r="D5">
        <v>0.55000000000000004</v>
      </c>
      <c r="E5">
        <v>1.2</v>
      </c>
    </row>
    <row r="6" spans="1:5" x14ac:dyDescent="0.45">
      <c r="A6" t="s">
        <v>19</v>
      </c>
      <c r="B6" t="s">
        <v>20</v>
      </c>
      <c r="C6" t="s">
        <v>98</v>
      </c>
      <c r="D6">
        <v>0.55000000000000004</v>
      </c>
      <c r="E6">
        <v>1.2</v>
      </c>
    </row>
    <row r="7" spans="1:5" x14ac:dyDescent="0.45">
      <c r="A7" t="s">
        <v>19</v>
      </c>
      <c r="B7" t="s">
        <v>20</v>
      </c>
      <c r="C7" t="s">
        <v>99</v>
      </c>
      <c r="D7">
        <v>0.55000000000000004</v>
      </c>
      <c r="E7">
        <v>1.2</v>
      </c>
    </row>
    <row r="8" spans="1:5" x14ac:dyDescent="0.45">
      <c r="A8" t="s">
        <v>19</v>
      </c>
      <c r="B8" t="s">
        <v>20</v>
      </c>
      <c r="C8" t="s">
        <v>100</v>
      </c>
      <c r="D8">
        <v>0.55000000000000004</v>
      </c>
      <c r="E8">
        <v>1.2</v>
      </c>
    </row>
    <row r="9" spans="1:5" x14ac:dyDescent="0.45">
      <c r="A9" t="s">
        <v>19</v>
      </c>
      <c r="B9" t="s">
        <v>20</v>
      </c>
      <c r="C9" t="s">
        <v>101</v>
      </c>
      <c r="D9">
        <v>0.55000000000000004</v>
      </c>
      <c r="E9">
        <v>1.2</v>
      </c>
    </row>
    <row r="10" spans="1:5" x14ac:dyDescent="0.45">
      <c r="A10" t="s">
        <v>19</v>
      </c>
      <c r="B10" t="s">
        <v>21</v>
      </c>
      <c r="C10" t="s">
        <v>94</v>
      </c>
      <c r="D10">
        <v>0.8</v>
      </c>
      <c r="E10">
        <v>1.1000000000000001</v>
      </c>
    </row>
    <row r="11" spans="1:5" x14ac:dyDescent="0.45">
      <c r="A11" t="s">
        <v>19</v>
      </c>
      <c r="B11" t="s">
        <v>21</v>
      </c>
      <c r="C11" t="s">
        <v>95</v>
      </c>
      <c r="D11">
        <v>0.8</v>
      </c>
      <c r="E11">
        <v>1.1000000000000001</v>
      </c>
    </row>
    <row r="12" spans="1:5" x14ac:dyDescent="0.45">
      <c r="A12" t="s">
        <v>19</v>
      </c>
      <c r="B12" t="s">
        <v>21</v>
      </c>
      <c r="C12" t="s">
        <v>96</v>
      </c>
      <c r="D12">
        <v>0.8</v>
      </c>
      <c r="E12">
        <v>1.1000000000000001</v>
      </c>
    </row>
    <row r="13" spans="1:5" x14ac:dyDescent="0.45">
      <c r="A13" t="s">
        <v>19</v>
      </c>
      <c r="B13" t="s">
        <v>21</v>
      </c>
      <c r="C13" t="s">
        <v>97</v>
      </c>
      <c r="D13">
        <v>0.8</v>
      </c>
      <c r="E13">
        <v>1.3</v>
      </c>
    </row>
    <row r="14" spans="1:5" x14ac:dyDescent="0.45">
      <c r="A14" t="s">
        <v>19</v>
      </c>
      <c r="B14" t="s">
        <v>21</v>
      </c>
      <c r="C14" t="s">
        <v>98</v>
      </c>
      <c r="D14">
        <v>0.8</v>
      </c>
      <c r="E14">
        <v>1.3</v>
      </c>
    </row>
    <row r="15" spans="1:5" x14ac:dyDescent="0.45">
      <c r="A15" t="s">
        <v>19</v>
      </c>
      <c r="B15" t="s">
        <v>21</v>
      </c>
      <c r="C15" t="s">
        <v>99</v>
      </c>
      <c r="D15">
        <v>0.8</v>
      </c>
      <c r="E15">
        <v>1.3</v>
      </c>
    </row>
    <row r="16" spans="1:5" x14ac:dyDescent="0.45">
      <c r="A16" t="s">
        <v>19</v>
      </c>
      <c r="B16" t="s">
        <v>21</v>
      </c>
      <c r="C16" t="s">
        <v>100</v>
      </c>
      <c r="D16">
        <v>0.8</v>
      </c>
      <c r="E16">
        <v>1.3</v>
      </c>
    </row>
    <row r="17" spans="1:5" x14ac:dyDescent="0.45">
      <c r="A17" t="s">
        <v>19</v>
      </c>
      <c r="B17" t="s">
        <v>21</v>
      </c>
      <c r="C17" t="s">
        <v>101</v>
      </c>
      <c r="D17">
        <v>0.8</v>
      </c>
      <c r="E17">
        <v>1.3</v>
      </c>
    </row>
    <row r="18" spans="1:5" x14ac:dyDescent="0.45">
      <c r="A18" t="s">
        <v>19</v>
      </c>
      <c r="B18" t="s">
        <v>24</v>
      </c>
      <c r="C18" t="s">
        <v>94</v>
      </c>
      <c r="D18">
        <v>0.7</v>
      </c>
      <c r="E18">
        <v>1.1000000000000001</v>
      </c>
    </row>
    <row r="19" spans="1:5" x14ac:dyDescent="0.45">
      <c r="A19" t="s">
        <v>19</v>
      </c>
      <c r="B19" t="s">
        <v>24</v>
      </c>
      <c r="C19" t="s">
        <v>95</v>
      </c>
      <c r="D19">
        <v>0.7</v>
      </c>
      <c r="E19">
        <v>1.1000000000000001</v>
      </c>
    </row>
    <row r="20" spans="1:5" x14ac:dyDescent="0.45">
      <c r="A20" t="s">
        <v>19</v>
      </c>
      <c r="B20" t="s">
        <v>24</v>
      </c>
      <c r="C20" t="s">
        <v>96</v>
      </c>
      <c r="D20">
        <v>0.7</v>
      </c>
      <c r="E20">
        <v>1.1000000000000001</v>
      </c>
    </row>
    <row r="21" spans="1:5" x14ac:dyDescent="0.45">
      <c r="A21" t="s">
        <v>19</v>
      </c>
      <c r="B21" t="s">
        <v>24</v>
      </c>
      <c r="C21" t="s">
        <v>97</v>
      </c>
      <c r="D21">
        <v>0.7</v>
      </c>
      <c r="E21">
        <v>1.3</v>
      </c>
    </row>
    <row r="22" spans="1:5" x14ac:dyDescent="0.45">
      <c r="A22" t="s">
        <v>19</v>
      </c>
      <c r="B22" t="s">
        <v>24</v>
      </c>
      <c r="C22" t="s">
        <v>98</v>
      </c>
      <c r="D22">
        <v>0.7</v>
      </c>
      <c r="E22">
        <v>1.3</v>
      </c>
    </row>
    <row r="23" spans="1:5" x14ac:dyDescent="0.45">
      <c r="A23" t="s">
        <v>19</v>
      </c>
      <c r="B23" t="s">
        <v>24</v>
      </c>
      <c r="C23" t="s">
        <v>99</v>
      </c>
      <c r="D23">
        <v>0.7</v>
      </c>
      <c r="E23">
        <v>1.3</v>
      </c>
    </row>
    <row r="24" spans="1:5" x14ac:dyDescent="0.45">
      <c r="A24" t="s">
        <v>19</v>
      </c>
      <c r="B24" t="s">
        <v>24</v>
      </c>
      <c r="C24" t="s">
        <v>100</v>
      </c>
      <c r="D24">
        <v>0.7</v>
      </c>
      <c r="E24">
        <v>1.3</v>
      </c>
    </row>
    <row r="25" spans="1:5" x14ac:dyDescent="0.45">
      <c r="A25" t="s">
        <v>19</v>
      </c>
      <c r="B25" t="s">
        <v>24</v>
      </c>
      <c r="C25" t="s">
        <v>101</v>
      </c>
      <c r="D25">
        <v>0.7</v>
      </c>
      <c r="E25">
        <v>1.3</v>
      </c>
    </row>
    <row r="26" spans="1:5" x14ac:dyDescent="0.45">
      <c r="A26" t="s">
        <v>19</v>
      </c>
      <c r="B26" t="s">
        <v>25</v>
      </c>
      <c r="C26" t="s">
        <v>94</v>
      </c>
      <c r="D26">
        <v>0.7</v>
      </c>
      <c r="E26">
        <v>1.1000000000000001</v>
      </c>
    </row>
    <row r="27" spans="1:5" x14ac:dyDescent="0.45">
      <c r="A27" t="s">
        <v>19</v>
      </c>
      <c r="B27" t="s">
        <v>25</v>
      </c>
      <c r="C27" t="s">
        <v>95</v>
      </c>
      <c r="D27">
        <v>0.7</v>
      </c>
      <c r="E27">
        <v>1.1000000000000001</v>
      </c>
    </row>
    <row r="28" spans="1:5" x14ac:dyDescent="0.45">
      <c r="A28" t="s">
        <v>19</v>
      </c>
      <c r="B28" t="s">
        <v>25</v>
      </c>
      <c r="C28" t="s">
        <v>96</v>
      </c>
      <c r="D28">
        <v>0.7</v>
      </c>
      <c r="E28">
        <v>1.1000000000000001</v>
      </c>
    </row>
    <row r="29" spans="1:5" x14ac:dyDescent="0.45">
      <c r="A29" t="s">
        <v>19</v>
      </c>
      <c r="B29" t="s">
        <v>25</v>
      </c>
      <c r="C29" t="s">
        <v>97</v>
      </c>
      <c r="D29">
        <v>0.7</v>
      </c>
      <c r="E29">
        <v>1.5</v>
      </c>
    </row>
    <row r="30" spans="1:5" x14ac:dyDescent="0.45">
      <c r="A30" t="s">
        <v>19</v>
      </c>
      <c r="B30" t="s">
        <v>25</v>
      </c>
      <c r="C30" t="s">
        <v>98</v>
      </c>
      <c r="D30">
        <v>0.7</v>
      </c>
      <c r="E30">
        <v>1.5</v>
      </c>
    </row>
    <row r="31" spans="1:5" x14ac:dyDescent="0.45">
      <c r="A31" t="s">
        <v>19</v>
      </c>
      <c r="B31" t="s">
        <v>25</v>
      </c>
      <c r="C31" t="s">
        <v>99</v>
      </c>
      <c r="D31">
        <v>0.7</v>
      </c>
      <c r="E31">
        <v>1.5</v>
      </c>
    </row>
    <row r="32" spans="1:5" x14ac:dyDescent="0.45">
      <c r="A32" t="s">
        <v>19</v>
      </c>
      <c r="B32" t="s">
        <v>25</v>
      </c>
      <c r="C32" t="s">
        <v>100</v>
      </c>
      <c r="D32">
        <v>0.7</v>
      </c>
      <c r="E32">
        <v>1.5</v>
      </c>
    </row>
    <row r="33" spans="1:5" x14ac:dyDescent="0.45">
      <c r="A33" t="s">
        <v>19</v>
      </c>
      <c r="B33" t="s">
        <v>25</v>
      </c>
      <c r="C33" t="s">
        <v>101</v>
      </c>
      <c r="D33">
        <v>0.7</v>
      </c>
      <c r="E33">
        <v>1.5</v>
      </c>
    </row>
    <row r="34" spans="1:5" x14ac:dyDescent="0.45">
      <c r="A34" t="s">
        <v>22</v>
      </c>
      <c r="B34" t="s">
        <v>20</v>
      </c>
      <c r="C34" t="s">
        <v>94</v>
      </c>
      <c r="D34">
        <v>0.7</v>
      </c>
      <c r="E34">
        <v>1.1000000000000001</v>
      </c>
    </row>
    <row r="35" spans="1:5" x14ac:dyDescent="0.45">
      <c r="A35" t="s">
        <v>22</v>
      </c>
      <c r="B35" t="s">
        <v>20</v>
      </c>
      <c r="C35" t="s">
        <v>95</v>
      </c>
      <c r="D35">
        <v>0.7</v>
      </c>
      <c r="E35">
        <v>1.1000000000000001</v>
      </c>
    </row>
    <row r="36" spans="1:5" x14ac:dyDescent="0.45">
      <c r="A36" t="s">
        <v>22</v>
      </c>
      <c r="B36" t="s">
        <v>20</v>
      </c>
      <c r="C36" t="s">
        <v>96</v>
      </c>
      <c r="D36">
        <v>0.7</v>
      </c>
      <c r="E36">
        <v>1.1000000000000001</v>
      </c>
    </row>
    <row r="37" spans="1:5" x14ac:dyDescent="0.45">
      <c r="A37" t="s">
        <v>22</v>
      </c>
      <c r="B37" t="s">
        <v>20</v>
      </c>
      <c r="C37" t="s">
        <v>97</v>
      </c>
      <c r="D37">
        <v>0.7</v>
      </c>
      <c r="E37">
        <v>1.3</v>
      </c>
    </row>
    <row r="38" spans="1:5" x14ac:dyDescent="0.45">
      <c r="A38" t="s">
        <v>22</v>
      </c>
      <c r="B38" t="s">
        <v>20</v>
      </c>
      <c r="C38" t="s">
        <v>98</v>
      </c>
      <c r="D38">
        <v>0.7</v>
      </c>
      <c r="E38">
        <v>1.8</v>
      </c>
    </row>
    <row r="39" spans="1:5" x14ac:dyDescent="0.45">
      <c r="A39" t="s">
        <v>22</v>
      </c>
      <c r="B39" t="s">
        <v>20</v>
      </c>
      <c r="C39" t="s">
        <v>99</v>
      </c>
      <c r="D39">
        <v>0.7</v>
      </c>
      <c r="E39">
        <v>1.8</v>
      </c>
    </row>
    <row r="40" spans="1:5" x14ac:dyDescent="0.45">
      <c r="A40" t="s">
        <v>22</v>
      </c>
      <c r="B40" t="s">
        <v>20</v>
      </c>
      <c r="C40" t="s">
        <v>100</v>
      </c>
      <c r="D40">
        <v>0.7</v>
      </c>
      <c r="E40">
        <v>1.3</v>
      </c>
    </row>
    <row r="41" spans="1:5" x14ac:dyDescent="0.45">
      <c r="A41" t="s">
        <v>22</v>
      </c>
      <c r="B41" t="s">
        <v>20</v>
      </c>
      <c r="C41" t="s">
        <v>101</v>
      </c>
      <c r="D41">
        <v>0.7</v>
      </c>
      <c r="E41">
        <v>1.8</v>
      </c>
    </row>
    <row r="42" spans="1:5" x14ac:dyDescent="0.45">
      <c r="A42" t="s">
        <v>22</v>
      </c>
      <c r="B42" t="s">
        <v>21</v>
      </c>
      <c r="C42" t="s">
        <v>94</v>
      </c>
      <c r="D42">
        <v>0.55000000000000004</v>
      </c>
      <c r="E42">
        <v>1.1000000000000001</v>
      </c>
    </row>
    <row r="43" spans="1:5" x14ac:dyDescent="0.45">
      <c r="A43" t="s">
        <v>22</v>
      </c>
      <c r="B43" t="s">
        <v>21</v>
      </c>
      <c r="C43" t="s">
        <v>95</v>
      </c>
      <c r="D43">
        <v>0.55000000000000004</v>
      </c>
      <c r="E43">
        <v>1.1000000000000001</v>
      </c>
    </row>
    <row r="44" spans="1:5" x14ac:dyDescent="0.45">
      <c r="A44" t="s">
        <v>22</v>
      </c>
      <c r="B44" t="s">
        <v>21</v>
      </c>
      <c r="C44" t="s">
        <v>96</v>
      </c>
      <c r="D44">
        <v>0.55000000000000004</v>
      </c>
      <c r="E44">
        <v>1.1000000000000001</v>
      </c>
    </row>
    <row r="45" spans="1:5" x14ac:dyDescent="0.45">
      <c r="A45" t="s">
        <v>22</v>
      </c>
      <c r="B45" t="s">
        <v>21</v>
      </c>
      <c r="C45" t="s">
        <v>97</v>
      </c>
      <c r="D45">
        <v>0.55000000000000004</v>
      </c>
      <c r="E45">
        <v>1.45</v>
      </c>
    </row>
    <row r="46" spans="1:5" x14ac:dyDescent="0.45">
      <c r="A46" t="s">
        <v>22</v>
      </c>
      <c r="B46" t="s">
        <v>21</v>
      </c>
      <c r="C46" t="s">
        <v>98</v>
      </c>
      <c r="D46">
        <v>0.55000000000000004</v>
      </c>
      <c r="E46">
        <v>1.45</v>
      </c>
    </row>
    <row r="47" spans="1:5" x14ac:dyDescent="0.45">
      <c r="A47" t="s">
        <v>22</v>
      </c>
      <c r="B47" t="s">
        <v>21</v>
      </c>
      <c r="C47" t="s">
        <v>99</v>
      </c>
      <c r="D47">
        <v>0.55000000000000004</v>
      </c>
      <c r="E47">
        <v>1.45</v>
      </c>
    </row>
    <row r="48" spans="1:5" x14ac:dyDescent="0.45">
      <c r="A48" t="s">
        <v>22</v>
      </c>
      <c r="B48" t="s">
        <v>21</v>
      </c>
      <c r="C48" t="s">
        <v>100</v>
      </c>
      <c r="D48">
        <v>0.55000000000000004</v>
      </c>
      <c r="E48">
        <v>1.45</v>
      </c>
    </row>
    <row r="49" spans="1:5" x14ac:dyDescent="0.45">
      <c r="A49" t="s">
        <v>22</v>
      </c>
      <c r="B49" t="s">
        <v>21</v>
      </c>
      <c r="C49" t="s">
        <v>101</v>
      </c>
      <c r="D49">
        <v>0.55000000000000004</v>
      </c>
      <c r="E49">
        <v>1.45</v>
      </c>
    </row>
    <row r="50" spans="1:5" x14ac:dyDescent="0.45">
      <c r="A50" t="s">
        <v>22</v>
      </c>
      <c r="B50" t="s">
        <v>24</v>
      </c>
      <c r="C50" t="s">
        <v>94</v>
      </c>
      <c r="D50">
        <v>1</v>
      </c>
      <c r="E50">
        <v>1</v>
      </c>
    </row>
    <row r="51" spans="1:5" x14ac:dyDescent="0.45">
      <c r="A51" t="s">
        <v>22</v>
      </c>
      <c r="B51" t="s">
        <v>24</v>
      </c>
      <c r="C51" t="s">
        <v>95</v>
      </c>
      <c r="D51">
        <v>1</v>
      </c>
      <c r="E51">
        <v>1</v>
      </c>
    </row>
    <row r="52" spans="1:5" x14ac:dyDescent="0.45">
      <c r="A52" t="s">
        <v>22</v>
      </c>
      <c r="B52" t="s">
        <v>24</v>
      </c>
      <c r="C52" t="s">
        <v>96</v>
      </c>
      <c r="D52">
        <v>1</v>
      </c>
      <c r="E52">
        <v>1</v>
      </c>
    </row>
    <row r="53" spans="1:5" x14ac:dyDescent="0.45">
      <c r="A53" t="s">
        <v>22</v>
      </c>
      <c r="B53" t="s">
        <v>24</v>
      </c>
      <c r="C53" t="s">
        <v>97</v>
      </c>
      <c r="D53">
        <v>1</v>
      </c>
      <c r="E53">
        <v>1</v>
      </c>
    </row>
    <row r="54" spans="1:5" x14ac:dyDescent="0.45">
      <c r="A54" t="s">
        <v>22</v>
      </c>
      <c r="B54" t="s">
        <v>24</v>
      </c>
      <c r="C54" t="s">
        <v>98</v>
      </c>
      <c r="D54">
        <v>1</v>
      </c>
      <c r="E54">
        <v>1</v>
      </c>
    </row>
    <row r="55" spans="1:5" x14ac:dyDescent="0.45">
      <c r="A55" t="s">
        <v>22</v>
      </c>
      <c r="B55" t="s">
        <v>24</v>
      </c>
      <c r="C55" t="s">
        <v>99</v>
      </c>
      <c r="D55">
        <v>1</v>
      </c>
      <c r="E55">
        <v>1</v>
      </c>
    </row>
    <row r="56" spans="1:5" x14ac:dyDescent="0.45">
      <c r="A56" t="s">
        <v>22</v>
      </c>
      <c r="B56" t="s">
        <v>24</v>
      </c>
      <c r="C56" t="s">
        <v>100</v>
      </c>
      <c r="D56">
        <v>1</v>
      </c>
      <c r="E56">
        <v>1</v>
      </c>
    </row>
    <row r="57" spans="1:5" x14ac:dyDescent="0.45">
      <c r="A57" t="s">
        <v>22</v>
      </c>
      <c r="B57" t="s">
        <v>24</v>
      </c>
      <c r="C57" t="s">
        <v>101</v>
      </c>
      <c r="D57">
        <v>1</v>
      </c>
      <c r="E57">
        <v>1</v>
      </c>
    </row>
    <row r="58" spans="1:5" x14ac:dyDescent="0.45">
      <c r="A58" t="s">
        <v>22</v>
      </c>
      <c r="B58" t="s">
        <v>25</v>
      </c>
      <c r="C58" t="s">
        <v>94</v>
      </c>
      <c r="D58">
        <v>1</v>
      </c>
      <c r="E58">
        <v>1</v>
      </c>
    </row>
    <row r="59" spans="1:5" x14ac:dyDescent="0.45">
      <c r="A59" t="s">
        <v>22</v>
      </c>
      <c r="B59" t="s">
        <v>25</v>
      </c>
      <c r="C59" t="s">
        <v>95</v>
      </c>
      <c r="D59">
        <v>1</v>
      </c>
      <c r="E59">
        <v>1</v>
      </c>
    </row>
    <row r="60" spans="1:5" x14ac:dyDescent="0.45">
      <c r="A60" t="s">
        <v>22</v>
      </c>
      <c r="B60" t="s">
        <v>25</v>
      </c>
      <c r="C60" t="s">
        <v>96</v>
      </c>
      <c r="D60">
        <v>1</v>
      </c>
      <c r="E60">
        <v>1</v>
      </c>
    </row>
    <row r="61" spans="1:5" x14ac:dyDescent="0.45">
      <c r="A61" t="s">
        <v>22</v>
      </c>
      <c r="B61" t="s">
        <v>25</v>
      </c>
      <c r="C61" t="s">
        <v>97</v>
      </c>
      <c r="D61">
        <v>1</v>
      </c>
      <c r="E61">
        <v>1</v>
      </c>
    </row>
    <row r="62" spans="1:5" x14ac:dyDescent="0.45">
      <c r="A62" t="s">
        <v>22</v>
      </c>
      <c r="B62" t="s">
        <v>25</v>
      </c>
      <c r="C62" t="s">
        <v>98</v>
      </c>
      <c r="D62">
        <v>1</v>
      </c>
      <c r="E62">
        <v>1</v>
      </c>
    </row>
    <row r="63" spans="1:5" x14ac:dyDescent="0.45">
      <c r="A63" t="s">
        <v>22</v>
      </c>
      <c r="B63" t="s">
        <v>25</v>
      </c>
      <c r="C63" t="s">
        <v>99</v>
      </c>
      <c r="D63">
        <v>1</v>
      </c>
      <c r="E63">
        <v>1</v>
      </c>
    </row>
    <row r="64" spans="1:5" x14ac:dyDescent="0.45">
      <c r="A64" t="s">
        <v>22</v>
      </c>
      <c r="B64" t="s">
        <v>25</v>
      </c>
      <c r="C64" t="s">
        <v>100</v>
      </c>
      <c r="D64">
        <v>1</v>
      </c>
      <c r="E64">
        <v>1</v>
      </c>
    </row>
    <row r="65" spans="1:5" x14ac:dyDescent="0.45">
      <c r="A65" t="s">
        <v>22</v>
      </c>
      <c r="B65" t="s">
        <v>25</v>
      </c>
      <c r="C65" t="s">
        <v>101</v>
      </c>
      <c r="D65">
        <v>1</v>
      </c>
      <c r="E65">
        <v>1</v>
      </c>
    </row>
  </sheetData>
  <autoFilter ref="A1:E65" xr:uid="{535DDB15-90FC-4EB0-815A-1C6ABE374F3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F4B2-7765-44B3-BFB6-C8F0B02284F7}">
  <dimension ref="A1:G20"/>
  <sheetViews>
    <sheetView tabSelected="1" zoomScale="115" zoomScaleNormal="115" workbookViewId="0">
      <selection activeCell="E14" sqref="E14"/>
    </sheetView>
  </sheetViews>
  <sheetFormatPr defaultRowHeight="14.25" x14ac:dyDescent="0.45"/>
  <cols>
    <col min="1" max="1" width="37.6640625" bestFit="1" customWidth="1"/>
    <col min="2" max="2" width="32.53125" bestFit="1" customWidth="1"/>
    <col min="3" max="3" width="12.1328125" bestFit="1" customWidth="1"/>
    <col min="4" max="4" width="7.19921875" bestFit="1" customWidth="1"/>
    <col min="5" max="5" width="6.73046875" bestFit="1" customWidth="1"/>
    <col min="6" max="6" width="6.46484375" bestFit="1" customWidth="1"/>
    <col min="7" max="7" width="69.33203125" customWidth="1"/>
  </cols>
  <sheetData>
    <row r="1" spans="1:7" x14ac:dyDescent="0.45">
      <c r="A1" s="4" t="s">
        <v>5</v>
      </c>
      <c r="B1" s="4" t="s">
        <v>44</v>
      </c>
      <c r="C1" s="4" t="s">
        <v>87</v>
      </c>
      <c r="D1" s="4" t="s">
        <v>31</v>
      </c>
      <c r="E1" s="4" t="s">
        <v>32</v>
      </c>
      <c r="F1" s="4" t="s">
        <v>33</v>
      </c>
      <c r="G1" s="4" t="s">
        <v>34</v>
      </c>
    </row>
    <row r="2" spans="1:7" x14ac:dyDescent="0.45">
      <c r="A2" t="s">
        <v>45</v>
      </c>
      <c r="B2" t="s">
        <v>37</v>
      </c>
      <c r="C2">
        <v>2045</v>
      </c>
      <c r="D2">
        <v>2035</v>
      </c>
      <c r="E2">
        <v>2055</v>
      </c>
      <c r="F2" t="s">
        <v>36</v>
      </c>
      <c r="G2" t="s">
        <v>57</v>
      </c>
    </row>
    <row r="3" spans="1:7" x14ac:dyDescent="0.45">
      <c r="A3" t="s">
        <v>56</v>
      </c>
      <c r="B3" t="s">
        <v>39</v>
      </c>
      <c r="C3" s="2">
        <v>0.95</v>
      </c>
      <c r="D3" s="2">
        <v>0.85</v>
      </c>
      <c r="E3" s="2">
        <v>1</v>
      </c>
      <c r="F3" t="s">
        <v>38</v>
      </c>
      <c r="G3" t="s">
        <v>40</v>
      </c>
    </row>
    <row r="4" spans="1:7" x14ac:dyDescent="0.45">
      <c r="A4" t="s">
        <v>108</v>
      </c>
      <c r="B4" t="s">
        <v>109</v>
      </c>
      <c r="C4" s="2">
        <v>0.25</v>
      </c>
      <c r="D4" s="2">
        <v>0.1</v>
      </c>
      <c r="E4" s="2">
        <v>0.35</v>
      </c>
      <c r="F4" t="s">
        <v>38</v>
      </c>
      <c r="G4" t="s">
        <v>110</v>
      </c>
    </row>
    <row r="5" spans="1:7" x14ac:dyDescent="0.45">
      <c r="A5" t="s">
        <v>111</v>
      </c>
      <c r="B5" t="s">
        <v>115</v>
      </c>
      <c r="C5" s="2">
        <v>0.66</v>
      </c>
      <c r="D5" s="2">
        <v>0.5</v>
      </c>
      <c r="E5" s="2">
        <v>0.8</v>
      </c>
      <c r="F5" t="s">
        <v>38</v>
      </c>
      <c r="G5" t="s">
        <v>117</v>
      </c>
    </row>
    <row r="6" spans="1:7" x14ac:dyDescent="0.45">
      <c r="A6" t="s">
        <v>112</v>
      </c>
      <c r="B6" t="s">
        <v>116</v>
      </c>
      <c r="C6" s="2">
        <v>0.6</v>
      </c>
      <c r="D6" s="2">
        <v>0.55000000000000004</v>
      </c>
      <c r="E6" s="2">
        <v>0.8</v>
      </c>
      <c r="F6" t="s">
        <v>38</v>
      </c>
      <c r="G6" t="s">
        <v>120</v>
      </c>
    </row>
    <row r="7" spans="1:7" x14ac:dyDescent="0.45">
      <c r="A7" t="s">
        <v>113</v>
      </c>
      <c r="B7" t="s">
        <v>121</v>
      </c>
      <c r="C7" s="2">
        <f>0.75*0.63</f>
        <v>0.47250000000000003</v>
      </c>
      <c r="D7" s="2">
        <f>0.7*0.51</f>
        <v>0.35699999999999998</v>
      </c>
      <c r="E7" s="2">
        <f>0.85*0.68</f>
        <v>0.57800000000000007</v>
      </c>
      <c r="F7" t="s">
        <v>38</v>
      </c>
      <c r="G7" t="s">
        <v>118</v>
      </c>
    </row>
    <row r="8" spans="1:7" x14ac:dyDescent="0.45">
      <c r="A8" t="s">
        <v>114</v>
      </c>
      <c r="B8" t="s">
        <v>122</v>
      </c>
      <c r="C8" s="2">
        <f>187/(187+63+3.5+0.1)</f>
        <v>0.73738170347003151</v>
      </c>
      <c r="D8" s="2">
        <f>136/(136+83+3.5+0.1)</f>
        <v>0.6109613656783468</v>
      </c>
      <c r="E8" s="2">
        <f>244/(244+44+3.5+0.1)</f>
        <v>0.8367626886145404</v>
      </c>
      <c r="F8" t="s">
        <v>38</v>
      </c>
      <c r="G8" t="s">
        <v>119</v>
      </c>
    </row>
    <row r="9" spans="1:7" x14ac:dyDescent="0.45">
      <c r="A9" t="s">
        <v>53</v>
      </c>
      <c r="B9" t="s">
        <v>50</v>
      </c>
      <c r="C9" s="2">
        <v>0.7</v>
      </c>
      <c r="D9" s="2">
        <v>0.05</v>
      </c>
      <c r="E9" s="2">
        <v>0.98</v>
      </c>
      <c r="F9" t="s">
        <v>38</v>
      </c>
      <c r="G9" t="s">
        <v>43</v>
      </c>
    </row>
    <row r="10" spans="1:7" x14ac:dyDescent="0.45">
      <c r="A10" t="s">
        <v>54</v>
      </c>
      <c r="B10" t="s">
        <v>41</v>
      </c>
      <c r="C10" s="2">
        <v>0.35399999999999998</v>
      </c>
      <c r="D10" s="2">
        <v>0.312</v>
      </c>
      <c r="E10" s="2">
        <v>0.4</v>
      </c>
      <c r="F10" t="s">
        <v>38</v>
      </c>
      <c r="G10" t="s">
        <v>140</v>
      </c>
    </row>
    <row r="11" spans="1:7" x14ac:dyDescent="0.45">
      <c r="A11" t="s">
        <v>55</v>
      </c>
      <c r="B11" t="s">
        <v>42</v>
      </c>
      <c r="C11" s="23">
        <v>1.2E-2</v>
      </c>
      <c r="D11" s="23">
        <v>8.0000000000000002E-3</v>
      </c>
      <c r="E11" s="23">
        <v>0.02</v>
      </c>
      <c r="F11" t="s">
        <v>38</v>
      </c>
    </row>
    <row r="12" spans="1:7" x14ac:dyDescent="0.45">
      <c r="A12" t="s">
        <v>124</v>
      </c>
      <c r="B12" t="s">
        <v>137</v>
      </c>
      <c r="C12" s="24">
        <v>5.8999999999999999E-3</v>
      </c>
      <c r="D12" s="24">
        <v>5.3E-3</v>
      </c>
      <c r="E12" s="24">
        <v>7.4999999999999997E-3</v>
      </c>
      <c r="F12" t="s">
        <v>38</v>
      </c>
      <c r="G12" s="2" t="s">
        <v>135</v>
      </c>
    </row>
    <row r="13" spans="1:7" x14ac:dyDescent="0.45">
      <c r="A13" t="s">
        <v>125</v>
      </c>
      <c r="B13" t="s">
        <v>138</v>
      </c>
      <c r="C13" s="2">
        <v>0.14199999999999999</v>
      </c>
      <c r="D13" s="23">
        <v>9.4E-2</v>
      </c>
      <c r="E13" s="23">
        <v>0.16500000000000001</v>
      </c>
      <c r="F13" t="s">
        <v>38</v>
      </c>
      <c r="G13" s="2" t="s">
        <v>136</v>
      </c>
    </row>
    <row r="14" spans="1:7" x14ac:dyDescent="0.45">
      <c r="A14" t="s">
        <v>126</v>
      </c>
      <c r="B14" t="s">
        <v>139</v>
      </c>
      <c r="C14" s="23">
        <v>2.5000000000000001E-2</v>
      </c>
      <c r="D14" s="23">
        <v>1.8000000000000002E-2</v>
      </c>
      <c r="E14" s="23">
        <v>0.03</v>
      </c>
      <c r="F14" t="s">
        <v>38</v>
      </c>
      <c r="G14" s="2" t="s">
        <v>134</v>
      </c>
    </row>
    <row r="15" spans="1:7" x14ac:dyDescent="0.45">
      <c r="A15" t="s">
        <v>51</v>
      </c>
      <c r="B15" t="s">
        <v>46</v>
      </c>
      <c r="C15" s="2">
        <v>0.8</v>
      </c>
      <c r="D15" s="2">
        <v>0.05</v>
      </c>
      <c r="E15" s="2">
        <v>0.98</v>
      </c>
      <c r="F15" t="s">
        <v>38</v>
      </c>
      <c r="G15" t="s">
        <v>48</v>
      </c>
    </row>
    <row r="16" spans="1:7" x14ac:dyDescent="0.45">
      <c r="A16" t="s">
        <v>52</v>
      </c>
      <c r="B16" t="s">
        <v>47</v>
      </c>
      <c r="C16" s="2">
        <v>0.7</v>
      </c>
      <c r="D16" s="2">
        <v>0.05</v>
      </c>
      <c r="E16" s="2">
        <v>0.98</v>
      </c>
      <c r="F16" t="s">
        <v>38</v>
      </c>
      <c r="G16" t="s">
        <v>49</v>
      </c>
    </row>
    <row r="17" spans="1:7" x14ac:dyDescent="0.45">
      <c r="A17" t="s">
        <v>130</v>
      </c>
      <c r="B17" t="s">
        <v>133</v>
      </c>
      <c r="C17" s="2">
        <v>0.7</v>
      </c>
      <c r="D17" s="2">
        <v>0.4</v>
      </c>
      <c r="E17" s="2">
        <v>0.9</v>
      </c>
      <c r="F17" t="s">
        <v>38</v>
      </c>
    </row>
    <row r="18" spans="1:7" x14ac:dyDescent="0.45">
      <c r="A18" t="s">
        <v>131</v>
      </c>
      <c r="B18" t="s">
        <v>127</v>
      </c>
      <c r="C18" s="2">
        <v>0.8</v>
      </c>
      <c r="D18" s="2">
        <v>0.5</v>
      </c>
      <c r="E18" s="2">
        <v>0.95</v>
      </c>
      <c r="F18" t="s">
        <v>38</v>
      </c>
    </row>
    <row r="19" spans="1:7" x14ac:dyDescent="0.45">
      <c r="A19" t="s">
        <v>132</v>
      </c>
      <c r="B19" t="s">
        <v>128</v>
      </c>
      <c r="C19" s="2">
        <v>0.6</v>
      </c>
      <c r="D19" s="2">
        <v>0.3</v>
      </c>
      <c r="E19" s="2">
        <v>0.9</v>
      </c>
      <c r="F19" t="s">
        <v>38</v>
      </c>
      <c r="G19" t="s">
        <v>129</v>
      </c>
    </row>
    <row r="20" spans="1:7" x14ac:dyDescent="0.45">
      <c r="A20" t="s">
        <v>30</v>
      </c>
      <c r="B20" t="s">
        <v>35</v>
      </c>
      <c r="C20">
        <v>2050</v>
      </c>
      <c r="D20">
        <v>2040</v>
      </c>
      <c r="E20">
        <v>2060</v>
      </c>
      <c r="F20" t="s">
        <v>38</v>
      </c>
      <c r="G20" t="s">
        <v>84</v>
      </c>
    </row>
  </sheetData>
  <hyperlinks>
    <hyperlink ref="G5" r:id="rId1" xr:uid="{1F35946E-A0BC-4CDE-AA4A-AF6AB7FAF3B5}"/>
    <hyperlink ref="G7" r:id="rId2" display="https://www.nature.com/articles/s43017-020-0093-3 (7.2 kg of concrete constituents are used for every kg of cement, and that 75% of that is aggregates)" xr:uid="{37CE28E0-A7C5-435D-A7EF-6F30194CB9D6}"/>
    <hyperlink ref="G8" r:id="rId3" xr:uid="{98906C61-3EC5-4860-B7BE-64C27F16DA30}"/>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8496-C0FC-41A6-A835-919559812BF8}">
  <dimension ref="A1:I9"/>
  <sheetViews>
    <sheetView zoomScale="115" zoomScaleNormal="115" workbookViewId="0">
      <selection activeCell="M19" sqref="M19"/>
    </sheetView>
  </sheetViews>
  <sheetFormatPr defaultRowHeight="14.25" x14ac:dyDescent="0.45"/>
  <cols>
    <col min="1" max="1" width="14.6640625" bestFit="1" customWidth="1"/>
    <col min="2" max="2" width="16" bestFit="1" customWidth="1"/>
    <col min="3" max="3" width="9.1328125" bestFit="1" customWidth="1"/>
    <col min="4" max="4" width="8.86328125" bestFit="1" customWidth="1"/>
    <col min="5" max="5" width="13.19921875" bestFit="1" customWidth="1"/>
    <col min="6" max="6" width="13.53125" bestFit="1" customWidth="1"/>
    <col min="7" max="7" width="5.86328125" bestFit="1" customWidth="1"/>
    <col min="8" max="8" width="6.1328125" bestFit="1" customWidth="1"/>
    <col min="9" max="9" width="12.46484375" customWidth="1"/>
  </cols>
  <sheetData>
    <row r="1" spans="1:9" x14ac:dyDescent="0.45">
      <c r="A1" s="4" t="s">
        <v>59</v>
      </c>
      <c r="B1" s="4" t="s">
        <v>71</v>
      </c>
      <c r="C1" s="4" t="s">
        <v>76</v>
      </c>
      <c r="D1" s="4" t="s">
        <v>77</v>
      </c>
      <c r="E1" s="4" t="s">
        <v>72</v>
      </c>
      <c r="F1" s="4" t="s">
        <v>73</v>
      </c>
      <c r="G1" s="4" t="s">
        <v>74</v>
      </c>
      <c r="H1" s="4" t="s">
        <v>75</v>
      </c>
      <c r="I1" s="4" t="s">
        <v>102</v>
      </c>
    </row>
    <row r="2" spans="1:9" x14ac:dyDescent="0.45">
      <c r="A2" t="s">
        <v>60</v>
      </c>
      <c r="B2" t="s">
        <v>61</v>
      </c>
      <c r="C2">
        <v>80</v>
      </c>
      <c r="D2">
        <v>2.5</v>
      </c>
      <c r="E2">
        <v>60</v>
      </c>
      <c r="F2">
        <v>100</v>
      </c>
      <c r="G2">
        <v>2</v>
      </c>
      <c r="H2">
        <v>3</v>
      </c>
      <c r="I2" t="s">
        <v>107</v>
      </c>
    </row>
    <row r="3" spans="1:9" x14ac:dyDescent="0.45">
      <c r="A3" t="s">
        <v>62</v>
      </c>
      <c r="B3" t="s">
        <v>61</v>
      </c>
      <c r="C3">
        <v>50</v>
      </c>
      <c r="D3">
        <v>2.5</v>
      </c>
      <c r="E3">
        <v>35</v>
      </c>
      <c r="F3">
        <v>65</v>
      </c>
      <c r="G3">
        <v>2</v>
      </c>
      <c r="H3">
        <v>3</v>
      </c>
      <c r="I3" t="s">
        <v>107</v>
      </c>
    </row>
    <row r="4" spans="1:9" x14ac:dyDescent="0.45">
      <c r="A4" t="s">
        <v>63</v>
      </c>
      <c r="B4" t="s">
        <v>58</v>
      </c>
      <c r="C4">
        <v>33</v>
      </c>
      <c r="D4">
        <v>2.5</v>
      </c>
      <c r="E4">
        <v>20</v>
      </c>
      <c r="F4">
        <v>46</v>
      </c>
      <c r="G4">
        <v>2</v>
      </c>
      <c r="H4">
        <v>3</v>
      </c>
      <c r="I4" t="s">
        <v>107</v>
      </c>
    </row>
    <row r="5" spans="1:9" x14ac:dyDescent="0.45">
      <c r="A5" t="s">
        <v>64</v>
      </c>
      <c r="B5" t="s">
        <v>58</v>
      </c>
      <c r="C5">
        <v>120</v>
      </c>
      <c r="D5">
        <v>2.5</v>
      </c>
      <c r="E5">
        <v>90</v>
      </c>
      <c r="F5">
        <v>150</v>
      </c>
      <c r="G5">
        <v>2</v>
      </c>
      <c r="H5">
        <v>3</v>
      </c>
      <c r="I5" t="s">
        <v>107</v>
      </c>
    </row>
    <row r="6" spans="1:9" x14ac:dyDescent="0.45">
      <c r="A6" t="s">
        <v>65</v>
      </c>
      <c r="B6" t="s">
        <v>66</v>
      </c>
      <c r="C6">
        <v>25</v>
      </c>
      <c r="D6">
        <v>2.5</v>
      </c>
      <c r="E6">
        <v>18</v>
      </c>
      <c r="F6">
        <v>32</v>
      </c>
      <c r="G6">
        <v>2</v>
      </c>
      <c r="H6">
        <v>3</v>
      </c>
      <c r="I6" t="s">
        <v>107</v>
      </c>
    </row>
    <row r="7" spans="1:9" x14ac:dyDescent="0.45">
      <c r="A7" t="s">
        <v>67</v>
      </c>
      <c r="B7" t="s">
        <v>66</v>
      </c>
      <c r="C7">
        <v>14</v>
      </c>
      <c r="D7">
        <v>2.5</v>
      </c>
      <c r="E7">
        <v>10</v>
      </c>
      <c r="F7">
        <v>18</v>
      </c>
      <c r="G7">
        <v>2</v>
      </c>
      <c r="H7">
        <v>3</v>
      </c>
      <c r="I7" t="s">
        <v>107</v>
      </c>
    </row>
    <row r="8" spans="1:9" x14ac:dyDescent="0.45">
      <c r="A8" t="s">
        <v>68</v>
      </c>
      <c r="B8" t="s">
        <v>69</v>
      </c>
      <c r="C8">
        <v>12</v>
      </c>
      <c r="D8">
        <v>1.5</v>
      </c>
      <c r="E8">
        <v>9</v>
      </c>
      <c r="F8">
        <v>15</v>
      </c>
      <c r="G8">
        <v>1.2</v>
      </c>
      <c r="H8">
        <v>1.8</v>
      </c>
      <c r="I8" t="s">
        <v>107</v>
      </c>
    </row>
    <row r="9" spans="1:9" x14ac:dyDescent="0.45">
      <c r="A9" t="s">
        <v>70</v>
      </c>
      <c r="B9" t="s">
        <v>69</v>
      </c>
      <c r="C9">
        <v>0.5</v>
      </c>
      <c r="D9">
        <v>1.5</v>
      </c>
      <c r="E9">
        <v>0.3</v>
      </c>
      <c r="F9">
        <v>0.7</v>
      </c>
      <c r="G9">
        <v>1.2</v>
      </c>
      <c r="H9">
        <v>1.8</v>
      </c>
      <c r="I9" t="s">
        <v>107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3F4E-269E-4BA6-9DB5-AE9F01BBF2FD}">
  <dimension ref="A1:C3"/>
  <sheetViews>
    <sheetView workbookViewId="0">
      <selection activeCell="B1" sqref="B1:B3"/>
    </sheetView>
  </sheetViews>
  <sheetFormatPr defaultRowHeight="14.25" x14ac:dyDescent="0.45"/>
  <cols>
    <col min="1" max="1" width="17.6640625" customWidth="1"/>
    <col min="2" max="2" width="11.53125" customWidth="1"/>
    <col min="3" max="3" width="122.53125" customWidth="1"/>
  </cols>
  <sheetData>
    <row r="1" spans="1:3" x14ac:dyDescent="0.45">
      <c r="A1" s="6" t="s">
        <v>2</v>
      </c>
      <c r="B1" s="5">
        <v>8</v>
      </c>
      <c r="C1" s="7" t="s">
        <v>0</v>
      </c>
    </row>
    <row r="2" spans="1:3" x14ac:dyDescent="0.45">
      <c r="A2" s="6" t="s">
        <v>1</v>
      </c>
      <c r="B2" s="5">
        <v>4</v>
      </c>
      <c r="C2" s="7" t="s">
        <v>3</v>
      </c>
    </row>
    <row r="3" spans="1:3" ht="57" x14ac:dyDescent="0.45">
      <c r="A3" s="6" t="s">
        <v>81</v>
      </c>
      <c r="B3" s="5">
        <v>22</v>
      </c>
      <c r="C3" s="7"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3FDD-E9EB-4805-9849-311AC0227BA4}">
  <dimension ref="A1:B2"/>
  <sheetViews>
    <sheetView workbookViewId="0">
      <selection activeCell="B2" sqref="B2"/>
    </sheetView>
  </sheetViews>
  <sheetFormatPr defaultRowHeight="14.25" x14ac:dyDescent="0.45"/>
  <sheetData>
    <row r="1" spans="1:2" x14ac:dyDescent="0.45">
      <c r="A1" s="22" t="s">
        <v>103</v>
      </c>
      <c r="B1" s="22" t="s">
        <v>104</v>
      </c>
    </row>
    <row r="2" spans="1:2" x14ac:dyDescent="0.45">
      <c r="A2" t="s">
        <v>106</v>
      </c>
      <c r="B2"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Intensity_old</vt:lpstr>
      <vt:lpstr>Stock_Bounds</vt:lpstr>
      <vt:lpstr>Parameters</vt:lpstr>
      <vt:lpstr>Lifetimes</vt:lpstr>
      <vt:lpstr>Dimensions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Busch</dc:creator>
  <cp:lastModifiedBy>Pablo Busch</cp:lastModifiedBy>
  <dcterms:created xsi:type="dcterms:W3CDTF">2026-06-11T19:43:13Z</dcterms:created>
  <dcterms:modified xsi:type="dcterms:W3CDTF">2026-10-27T14:32:45Z</dcterms:modified>
</cp:coreProperties>
</file>