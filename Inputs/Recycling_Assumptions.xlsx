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Programming\R\R Stanford\material-intensity\Inputs\"/>
    </mc:Choice>
  </mc:AlternateContent>
  <xr:revisionPtr revIDLastSave="0" documentId="13_ncr:1_{4830E9ED-E626-473C-9B04-48839EB38982}" xr6:coauthVersionLast="47" xr6:coauthVersionMax="47" xr10:uidLastSave="{00000000-0000-0000-0000-000000000000}"/>
  <bookViews>
    <workbookView xWindow="-98" yWindow="-98" windowWidth="28996" windowHeight="15675" activeTab="1" xr2:uid="{A64A04CB-909E-460D-BA0C-2E868E158A9C}"/>
  </bookViews>
  <sheets>
    <sheet name="Readme" sheetId="4" r:id="rId1"/>
    <sheet name="Recycling_EOL" sheetId="2" r:id="rId2"/>
    <sheet name="Downcycling" sheetId="1" r:id="rId3"/>
  </sheets>
  <definedNames>
    <definedName name="_xlnm._FilterDatabase" localSheetId="1" hidden="1">Recycling_EOL!$A$1:$H$9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2" l="1"/>
  <c r="E3" i="2"/>
  <c r="E4" i="2"/>
  <c r="E5" i="2"/>
  <c r="E6" i="2"/>
  <c r="E7" i="2"/>
  <c r="E8" i="2"/>
  <c r="E10" i="2"/>
  <c r="E2" i="2"/>
  <c r="G10" i="2"/>
  <c r="F10" i="2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</calcChain>
</file>

<file path=xl/sharedStrings.xml><?xml version="1.0" encoding="utf-8"?>
<sst xmlns="http://schemas.openxmlformats.org/spreadsheetml/2006/main" count="36" uniqueCount="24">
  <si>
    <t>Region</t>
  </si>
  <si>
    <t>East Asia</t>
  </si>
  <si>
    <t>Europe &amp; Russia</t>
  </si>
  <si>
    <t>North America</t>
  </si>
  <si>
    <t>Latin America</t>
  </si>
  <si>
    <t>Sub-Saharan Africa</t>
  </si>
  <si>
    <t>Middle East &amp; North Africa</t>
  </si>
  <si>
    <t>South Asia</t>
  </si>
  <si>
    <t>Oceania</t>
  </si>
  <si>
    <t>Iron/Steel EOL-RR</t>
  </si>
  <si>
    <t>Aluminum EOL-RR</t>
  </si>
  <si>
    <t>Copper EOL-RR</t>
  </si>
  <si>
    <t>Recycling_rate_Fe</t>
  </si>
  <si>
    <t>Recycling_rate_NonFe</t>
  </si>
  <si>
    <t>See excel Recycling_sources.xlsx</t>
  </si>
  <si>
    <t>Global</t>
  </si>
  <si>
    <t>Downcycling rate</t>
  </si>
  <si>
    <t>Key assumptions</t>
  </si>
  <si>
    <t>Italic indicate assumption. Similar to Europe</t>
  </si>
  <si>
    <t>Proportion with respect to global</t>
  </si>
  <si>
    <t>North america</t>
  </si>
  <si>
    <t>Global values assumed</t>
  </si>
  <si>
    <t>Share between Al and Cu: Al 74K, Cu: 29K, by USGS</t>
  </si>
  <si>
    <t>OtherNonFE EOL-RR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</si>
</sst>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9" fontId="0" fillId="2" borderId="0" xfId="0" applyNumberFormat="1" applyFill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9" fontId="1" fillId="0" borderId="0" xfId="0" applyNumberFormat="1" applyFont="1"/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00A4-E759-4DC8-971C-55B1670D70D4}">
  <dimension ref="A1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DA93-9423-43CF-A326-B3ED535056C0}">
  <dimension ref="A1:H10"/>
  <sheetViews>
    <sheetView tabSelected="1" workbookViewId="0">
      <selection activeCell="E10" sqref="E10"/>
    </sheetView>
  </sheetViews>
  <sheetFormatPr defaultRowHeight="14.25" x14ac:dyDescent="0.45"/>
  <cols>
    <col min="1" max="1" width="22.796875" bestFit="1" customWidth="1"/>
    <col min="2" max="2" width="20.265625" bestFit="1" customWidth="1"/>
    <col min="3" max="3" width="20.73046875" bestFit="1" customWidth="1"/>
    <col min="4" max="4" width="18.06640625" bestFit="1" customWidth="1"/>
    <col min="5" max="5" width="18.06640625" customWidth="1"/>
    <col min="6" max="7" width="26.53125" customWidth="1"/>
    <col min="8" max="8" width="89.9296875" customWidth="1"/>
  </cols>
  <sheetData>
    <row r="1" spans="1:8" x14ac:dyDescent="0.45">
      <c r="A1" s="1" t="s">
        <v>0</v>
      </c>
      <c r="B1" s="1" t="s">
        <v>9</v>
      </c>
      <c r="C1" s="1" t="s">
        <v>10</v>
      </c>
      <c r="D1" s="1" t="s">
        <v>11</v>
      </c>
      <c r="E1" s="1" t="s">
        <v>23</v>
      </c>
      <c r="F1" s="1" t="s">
        <v>12</v>
      </c>
      <c r="G1" s="1" t="s">
        <v>13</v>
      </c>
      <c r="H1" s="1" t="s">
        <v>17</v>
      </c>
    </row>
    <row r="2" spans="1:8" x14ac:dyDescent="0.45">
      <c r="A2" s="3" t="s">
        <v>2</v>
      </c>
      <c r="B2" s="7">
        <v>0.75</v>
      </c>
      <c r="C2" s="7">
        <v>0.5</v>
      </c>
      <c r="D2" s="7">
        <v>0.61</v>
      </c>
      <c r="E2" s="7">
        <f>+AVERAGE(C2:D2)</f>
        <v>0.55499999999999994</v>
      </c>
      <c r="F2" s="6">
        <f>+B2</f>
        <v>0.75</v>
      </c>
      <c r="G2" s="6">
        <f>29/(74+29)*D2+74/(74+29)*C2</f>
        <v>0.53097087378640773</v>
      </c>
      <c r="H2" s="8" t="s">
        <v>22</v>
      </c>
    </row>
    <row r="3" spans="1:8" x14ac:dyDescent="0.45">
      <c r="A3" s="3" t="s">
        <v>3</v>
      </c>
      <c r="B3" s="8">
        <v>0.75</v>
      </c>
      <c r="C3" s="7">
        <v>0.55000000000000004</v>
      </c>
      <c r="D3" s="7">
        <v>0.5</v>
      </c>
      <c r="E3" s="7">
        <f t="shared" ref="E3:E10" si="0">+AVERAGE(C3:D3)</f>
        <v>0.52500000000000002</v>
      </c>
      <c r="F3" s="6">
        <f t="shared" ref="F3:F10" si="1">+B3</f>
        <v>0.75</v>
      </c>
      <c r="G3" s="6">
        <f t="shared" ref="G3:G10" si="2">29/(74+29)*D3+74/(74+29)*C3</f>
        <v>0.53592233009708745</v>
      </c>
      <c r="H3" s="8" t="s">
        <v>18</v>
      </c>
    </row>
    <row r="4" spans="1:8" x14ac:dyDescent="0.45">
      <c r="A4" s="3" t="s">
        <v>1</v>
      </c>
      <c r="B4" s="7">
        <v>0.7</v>
      </c>
      <c r="C4" s="7">
        <v>0.7</v>
      </c>
      <c r="D4" s="7">
        <v>0.52</v>
      </c>
      <c r="E4" s="7">
        <f t="shared" si="0"/>
        <v>0.61</v>
      </c>
      <c r="F4" s="6">
        <f t="shared" si="1"/>
        <v>0.7</v>
      </c>
      <c r="G4" s="6">
        <f t="shared" si="2"/>
        <v>0.64932038834951455</v>
      </c>
      <c r="H4" s="4"/>
    </row>
    <row r="5" spans="1:8" x14ac:dyDescent="0.45">
      <c r="A5" s="3" t="s">
        <v>4</v>
      </c>
      <c r="B5" s="7">
        <v>0.45</v>
      </c>
      <c r="C5" s="7">
        <v>0.57999999999999996</v>
      </c>
      <c r="D5" s="8">
        <v>0.4</v>
      </c>
      <c r="E5" s="7">
        <f t="shared" si="0"/>
        <v>0.49</v>
      </c>
      <c r="F5" s="6">
        <f t="shared" si="1"/>
        <v>0.45</v>
      </c>
      <c r="G5" s="6">
        <f t="shared" si="2"/>
        <v>0.52932038834951456</v>
      </c>
      <c r="H5" s="9" t="s">
        <v>19</v>
      </c>
    </row>
    <row r="6" spans="1:8" x14ac:dyDescent="0.45">
      <c r="A6" s="3" t="s">
        <v>5</v>
      </c>
      <c r="B6" s="8">
        <v>0.45</v>
      </c>
      <c r="C6" s="7">
        <v>0.52</v>
      </c>
      <c r="D6" s="8">
        <v>0.45</v>
      </c>
      <c r="E6" s="7">
        <f t="shared" si="0"/>
        <v>0.48499999999999999</v>
      </c>
      <c r="F6" s="6">
        <f t="shared" si="1"/>
        <v>0.45</v>
      </c>
      <c r="G6" s="6">
        <f t="shared" si="2"/>
        <v>0.50029126213592234</v>
      </c>
      <c r="H6" s="9" t="s">
        <v>19</v>
      </c>
    </row>
    <row r="7" spans="1:8" x14ac:dyDescent="0.45">
      <c r="A7" s="3" t="s">
        <v>6</v>
      </c>
      <c r="B7" s="11">
        <v>0.45</v>
      </c>
      <c r="C7" s="11">
        <v>0.6</v>
      </c>
      <c r="D7" s="11">
        <v>0.47</v>
      </c>
      <c r="E7" s="7">
        <f t="shared" si="0"/>
        <v>0.53499999999999992</v>
      </c>
      <c r="F7" s="6">
        <f t="shared" si="1"/>
        <v>0.45</v>
      </c>
      <c r="G7" s="6">
        <f t="shared" si="2"/>
        <v>0.56339805825242717</v>
      </c>
      <c r="H7" s="9" t="s">
        <v>21</v>
      </c>
    </row>
    <row r="8" spans="1:8" x14ac:dyDescent="0.45">
      <c r="A8" s="3" t="s">
        <v>7</v>
      </c>
      <c r="B8" s="11">
        <v>0.7</v>
      </c>
      <c r="C8" s="11">
        <v>0.6</v>
      </c>
      <c r="D8" s="11">
        <v>0.47</v>
      </c>
      <c r="E8" s="7">
        <f t="shared" si="0"/>
        <v>0.53499999999999992</v>
      </c>
      <c r="F8" s="6">
        <f t="shared" si="1"/>
        <v>0.7</v>
      </c>
      <c r="G8" s="6">
        <f t="shared" si="2"/>
        <v>0.56339805825242717</v>
      </c>
      <c r="H8" s="2" t="s">
        <v>21</v>
      </c>
    </row>
    <row r="9" spans="1:8" x14ac:dyDescent="0.45">
      <c r="A9" s="3" t="s">
        <v>8</v>
      </c>
      <c r="B9" s="8">
        <v>0.75</v>
      </c>
      <c r="C9" s="8">
        <v>0.55000000000000004</v>
      </c>
      <c r="D9" s="8">
        <v>0.5</v>
      </c>
      <c r="E9" s="7">
        <f>+AVERAGE(C9:D9)</f>
        <v>0.52500000000000002</v>
      </c>
      <c r="F9" s="6">
        <f t="shared" si="1"/>
        <v>0.75</v>
      </c>
      <c r="G9" s="6">
        <f t="shared" si="2"/>
        <v>0.53592233009708745</v>
      </c>
      <c r="H9" s="9" t="s">
        <v>20</v>
      </c>
    </row>
    <row r="10" spans="1:8" x14ac:dyDescent="0.45">
      <c r="A10" s="3" t="s">
        <v>15</v>
      </c>
      <c r="B10" s="10">
        <v>0.7</v>
      </c>
      <c r="C10" s="10">
        <v>0.6</v>
      </c>
      <c r="D10" s="10">
        <v>0.47</v>
      </c>
      <c r="E10" s="7">
        <f t="shared" si="0"/>
        <v>0.53499999999999992</v>
      </c>
      <c r="F10" s="6">
        <f t="shared" si="1"/>
        <v>0.7</v>
      </c>
      <c r="G10" s="6">
        <f t="shared" si="2"/>
        <v>0.56339805825242717</v>
      </c>
    </row>
  </sheetData>
  <autoFilter ref="A1:H9" xr:uid="{8510DA93-9423-43CF-A326-B3ED535056C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F9C2-C7B8-441A-BD70-BDC146087AEA}">
  <dimension ref="A1:B10"/>
  <sheetViews>
    <sheetView workbookViewId="0">
      <selection activeCell="B10" sqref="B10"/>
    </sheetView>
  </sheetViews>
  <sheetFormatPr defaultRowHeight="14.25" x14ac:dyDescent="0.45"/>
  <cols>
    <col min="1" max="2" width="27.46484375" customWidth="1"/>
  </cols>
  <sheetData>
    <row r="1" spans="1:2" x14ac:dyDescent="0.45">
      <c r="A1" s="5" t="s">
        <v>0</v>
      </c>
      <c r="B1" s="5" t="s">
        <v>16</v>
      </c>
    </row>
    <row r="2" spans="1:2" x14ac:dyDescent="0.45">
      <c r="A2" s="3" t="s">
        <v>1</v>
      </c>
      <c r="B2" s="7">
        <v>0.8</v>
      </c>
    </row>
    <row r="3" spans="1:2" x14ac:dyDescent="0.45">
      <c r="A3" s="3" t="s">
        <v>2</v>
      </c>
      <c r="B3" s="7">
        <v>0.85</v>
      </c>
    </row>
    <row r="4" spans="1:2" x14ac:dyDescent="0.45">
      <c r="A4" s="3" t="s">
        <v>3</v>
      </c>
      <c r="B4" s="7">
        <v>0.5</v>
      </c>
    </row>
    <row r="5" spans="1:2" x14ac:dyDescent="0.45">
      <c r="A5" s="3" t="s">
        <v>4</v>
      </c>
      <c r="B5" s="7">
        <v>0.3</v>
      </c>
    </row>
    <row r="6" spans="1:2" x14ac:dyDescent="0.45">
      <c r="A6" s="3" t="s">
        <v>5</v>
      </c>
      <c r="B6" s="7">
        <v>0.15</v>
      </c>
    </row>
    <row r="7" spans="1:2" x14ac:dyDescent="0.45">
      <c r="A7" s="3" t="s">
        <v>6</v>
      </c>
      <c r="B7" s="8">
        <v>0.15</v>
      </c>
    </row>
    <row r="8" spans="1:2" x14ac:dyDescent="0.45">
      <c r="A8" s="3" t="s">
        <v>7</v>
      </c>
      <c r="B8" s="7">
        <v>0.32</v>
      </c>
    </row>
    <row r="9" spans="1:2" x14ac:dyDescent="0.45">
      <c r="A9" s="3" t="s">
        <v>8</v>
      </c>
      <c r="B9" s="7">
        <v>0.6</v>
      </c>
    </row>
    <row r="10" spans="1:2" x14ac:dyDescent="0.45">
      <c r="A10" s="3" t="s">
        <v>15</v>
      </c>
      <c r="B10" s="10"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Recycling_EOL</vt:lpstr>
      <vt:lpstr>Downcycling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2026-05-06T17:35:33Z</dcterms:created>
  <dcterms:modified xsi:type="dcterms:W3CDTF">2026-10-26T15:15:47Z</dcterms:modified>
</cp:coreProperties>
</file>